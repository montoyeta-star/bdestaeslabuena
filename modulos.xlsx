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90" yWindow="610" windowWidth="18640" windowHeight="6490"/>
  </bookViews>
  <sheets>
    <sheet name="modulos kit" sheetId="1" r:id="rId1"/>
  </sheets>
  <calcPr calcId="125725"/>
</workbook>
</file>

<file path=xl/calcChain.xml><?xml version="1.0" encoding="utf-8"?>
<calcChain xmlns="http://schemas.openxmlformats.org/spreadsheetml/2006/main">
  <c r="H147" i="1"/>
  <c r="M8"/>
  <c r="L8"/>
  <c r="M7"/>
  <c r="L7"/>
  <c r="M6"/>
  <c r="L6"/>
  <c r="M5"/>
  <c r="L5"/>
  <c r="M4"/>
  <c r="L4"/>
  <c r="M3"/>
  <c r="L3"/>
  <c r="M2"/>
  <c r="L2"/>
  <c r="H146"/>
  <c r="H145"/>
  <c r="H144"/>
  <c r="H143"/>
  <c r="H142"/>
  <c r="H141"/>
  <c r="H140"/>
  <c r="H139"/>
  <c r="H138"/>
  <c r="H137"/>
  <c r="H136"/>
  <c r="H135"/>
  <c r="H134"/>
  <c r="H133"/>
  <c r="H132"/>
  <c r="H131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</calcChain>
</file>

<file path=xl/sharedStrings.xml><?xml version="1.0" encoding="utf-8"?>
<sst xmlns="http://schemas.openxmlformats.org/spreadsheetml/2006/main" count="1117" uniqueCount="86">
  <si>
    <t xml:space="preserve">
cod</t>
  </si>
  <si>
    <t>nombre</t>
  </si>
  <si>
    <t>categoria</t>
  </si>
  <si>
    <t>ancho_cm</t>
  </si>
  <si>
    <t>fondo_cm</t>
  </si>
  <si>
    <t>color_acabado</t>
  </si>
  <si>
    <t>precio_coste</t>
  </si>
  <si>
    <t>precio_venta</t>
  </si>
  <si>
    <t>descuento</t>
  </si>
  <si>
    <t>MODULO</t>
  </si>
  <si>
    <t>BAJOS ALMACENAJE altura 70</t>
  </si>
  <si>
    <t>BAJOS_ALMACENAJE</t>
  </si>
  <si>
    <t>700</t>
  </si>
  <si>
    <t>150</t>
  </si>
  <si>
    <t>580</t>
  </si>
  <si>
    <t>BLANCO</t>
  </si>
  <si>
    <t>300</t>
  </si>
  <si>
    <t>340</t>
  </si>
  <si>
    <t>400</t>
  </si>
  <si>
    <t>450</t>
  </si>
  <si>
    <t>500</t>
  </si>
  <si>
    <t>600</t>
  </si>
  <si>
    <t>800</t>
  </si>
  <si>
    <t>900</t>
  </si>
  <si>
    <t>1000</t>
  </si>
  <si>
    <t>1200</t>
  </si>
  <si>
    <t>BAJOS ALMACENAJE altura 80</t>
  </si>
  <si>
    <t>FREGDERO DE 70</t>
  </si>
  <si>
    <t>BAJOS_FREGADERO</t>
  </si>
  <si>
    <t>FREGADEROS 80</t>
  </si>
  <si>
    <t>BAJO RINCON L</t>
  </si>
  <si>
    <t>BAJO_RINCON_L</t>
  </si>
  <si>
    <t>930</t>
  </si>
  <si>
    <t>COLUMNA ESCOBERO 2000</t>
  </si>
  <si>
    <t xml:space="preserve">COLUMNA_ESCOBERO </t>
  </si>
  <si>
    <t>2000</t>
  </si>
  <si>
    <t>COLUMNA ESCOBERO 2200</t>
  </si>
  <si>
    <t>2200</t>
  </si>
  <si>
    <t>COLUMNA ESCOBERO 2300</t>
  </si>
  <si>
    <t>2300</t>
  </si>
  <si>
    <t>KIT 3 BALDAS</t>
  </si>
  <si>
    <t>BALDAS</t>
  </si>
  <si>
    <t>HORNO altura 70</t>
  </si>
  <si>
    <t>BAJO_HORNO</t>
  </si>
  <si>
    <t>HORNO altura 80</t>
  </si>
  <si>
    <t>COLUMNA HM 2000</t>
  </si>
  <si>
    <t>COLUMNA_HM</t>
  </si>
  <si>
    <t>COLUMNA HM 2200</t>
  </si>
  <si>
    <t>COLUMNA HM 2300</t>
  </si>
  <si>
    <t>ALTO H=70</t>
  </si>
  <si>
    <t>ALTOS</t>
  </si>
  <si>
    <t>330</t>
  </si>
  <si>
    <t>ALTO H=80</t>
  </si>
  <si>
    <t>ALTO H=90</t>
  </si>
  <si>
    <t>GRAFITO</t>
  </si>
  <si>
    <t>HERRAJE</t>
  </si>
  <si>
    <t>PUERTA</t>
  </si>
  <si>
    <t>Puerta</t>
  </si>
  <si>
    <t>blanco mate pem060</t>
  </si>
  <si>
    <t>70_15</t>
  </si>
  <si>
    <t>70_30</t>
  </si>
  <si>
    <t>70_35</t>
  </si>
  <si>
    <t>70_40</t>
  </si>
  <si>
    <t>70_45</t>
  </si>
  <si>
    <t>70_50</t>
  </si>
  <si>
    <t>70_60</t>
  </si>
  <si>
    <t>80_15</t>
  </si>
  <si>
    <t>80_30</t>
  </si>
  <si>
    <t>80_35</t>
  </si>
  <si>
    <t>80_40</t>
  </si>
  <si>
    <t>80_45</t>
  </si>
  <si>
    <t>80_50</t>
  </si>
  <si>
    <t>80_60</t>
  </si>
  <si>
    <t>110_60</t>
  </si>
  <si>
    <t>puertas_1</t>
  </si>
  <si>
    <t>medida_pta_1_alto</t>
  </si>
  <si>
    <t>medida_pta_1_ancho</t>
  </si>
  <si>
    <t>alto_cm</t>
  </si>
  <si>
    <t>110_40</t>
  </si>
  <si>
    <t>Colgador mueble alto</t>
  </si>
  <si>
    <t>PATA_H10</t>
  </si>
  <si>
    <t>PATA_H15</t>
  </si>
  <si>
    <t>BISAGRA_SENSYS</t>
  </si>
  <si>
    <t>S</t>
  </si>
  <si>
    <t>1s</t>
  </si>
  <si>
    <t>5</t>
  </si>
</sst>
</file>

<file path=xl/styles.xml><?xml version="1.0" encoding="utf-8"?>
<styleSheet xmlns="http://schemas.openxmlformats.org/spreadsheetml/2006/main">
  <numFmts count="1">
    <numFmt numFmtId="164" formatCode="#,##0.00&quot;€&quot;"/>
  </numFmts>
  <fonts count="7">
    <font>
      <sz val="10"/>
      <color rgb="FF000000"/>
      <name val="Arial"/>
      <scheme val="minor"/>
    </font>
    <font>
      <sz val="9"/>
      <color rgb="FF000000"/>
      <name val="Arial"/>
    </font>
    <font>
      <sz val="9"/>
      <color rgb="FF0F1115"/>
      <name val="Arial"/>
    </font>
    <font>
      <sz val="9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4" fillId="0" borderId="0" xfId="0" applyNumberFormat="1" applyFont="1" applyAlignment="1"/>
    <xf numFmtId="4" fontId="6" fillId="0" borderId="0" xfId="0" applyNumberFormat="1" applyFont="1" applyAlignment="1"/>
    <xf numFmtId="164" fontId="3" fillId="0" borderId="0" xfId="0" applyNumberFormat="1" applyFont="1" applyAlignment="1"/>
    <xf numFmtId="49" fontId="3" fillId="0" borderId="0" xfId="0" applyNumberFormat="1" applyFont="1" applyAlignment="1"/>
    <xf numFmtId="49" fontId="6" fillId="0" borderId="0" xfId="0" applyNumberFormat="1" applyFont="1" applyAlignment="1"/>
    <xf numFmtId="4" fontId="6" fillId="0" borderId="0" xfId="0" applyNumberFormat="1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976"/>
  <sheetViews>
    <sheetView tabSelected="1" topLeftCell="A118" workbookViewId="0">
      <selection activeCell="C135" sqref="C135"/>
    </sheetView>
  </sheetViews>
  <sheetFormatPr baseColWidth="10" defaultColWidth="12.6328125" defaultRowHeight="15.75" customHeight="1"/>
  <cols>
    <col min="1" max="1" width="15.90625" customWidth="1"/>
    <col min="2" max="2" width="31.6328125" customWidth="1"/>
    <col min="3" max="3" width="21.453125" customWidth="1"/>
    <col min="4" max="6" width="8" customWidth="1"/>
    <col min="7" max="7" width="15" customWidth="1"/>
    <col min="8" max="8" width="10.90625" customWidth="1"/>
    <col min="10" max="10" width="9.36328125" customWidth="1"/>
  </cols>
  <sheetData>
    <row r="1" spans="1:21" ht="15.75" customHeight="1">
      <c r="A1" s="1" t="s">
        <v>0</v>
      </c>
      <c r="B1" s="2" t="s">
        <v>1</v>
      </c>
      <c r="C1" s="3" t="s">
        <v>2</v>
      </c>
      <c r="D1" s="11" t="s">
        <v>77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4" t="s">
        <v>8</v>
      </c>
      <c r="K1" s="5" t="s">
        <v>74</v>
      </c>
      <c r="L1" s="5" t="s">
        <v>75</v>
      </c>
      <c r="M1" s="5" t="s">
        <v>76</v>
      </c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6" t="s">
        <v>9</v>
      </c>
      <c r="B2" s="7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7" t="s">
        <v>15</v>
      </c>
      <c r="H2" s="9">
        <f t="shared" ref="H2:H127" si="0">I2*((100-J2)/100)</f>
        <v>3.5</v>
      </c>
      <c r="I2" s="8" t="s">
        <v>85</v>
      </c>
      <c r="J2" s="9">
        <v>30</v>
      </c>
      <c r="K2" s="10">
        <v>1</v>
      </c>
      <c r="L2" s="10">
        <f>D132</f>
        <v>698</v>
      </c>
      <c r="M2" s="10">
        <f>E132</f>
        <v>147</v>
      </c>
      <c r="N2" s="10"/>
      <c r="O2" s="10"/>
      <c r="P2" s="10"/>
      <c r="Q2" s="10"/>
      <c r="R2" s="10"/>
      <c r="S2" s="10"/>
      <c r="T2" s="10"/>
      <c r="U2" s="10"/>
    </row>
    <row r="3" spans="1:21" ht="15.75" customHeight="1">
      <c r="A3" s="6" t="s">
        <v>9</v>
      </c>
      <c r="B3" s="7" t="s">
        <v>10</v>
      </c>
      <c r="C3" s="7" t="s">
        <v>11</v>
      </c>
      <c r="D3" s="8" t="s">
        <v>12</v>
      </c>
      <c r="E3" s="8" t="s">
        <v>16</v>
      </c>
      <c r="F3" s="8" t="s">
        <v>14</v>
      </c>
      <c r="G3" s="7" t="s">
        <v>15</v>
      </c>
      <c r="H3" s="9">
        <f t="shared" si="0"/>
        <v>3.5</v>
      </c>
      <c r="I3" s="8" t="s">
        <v>85</v>
      </c>
      <c r="J3" s="9">
        <v>30</v>
      </c>
      <c r="K3" s="22">
        <v>1</v>
      </c>
      <c r="L3" s="22">
        <f t="shared" ref="L3:M3" si="1">D133</f>
        <v>698</v>
      </c>
      <c r="M3" s="22">
        <f t="shared" si="1"/>
        <v>297</v>
      </c>
      <c r="N3" s="10"/>
      <c r="O3" s="10"/>
      <c r="P3" s="10"/>
      <c r="Q3" s="10"/>
      <c r="R3" s="10"/>
      <c r="S3" s="10"/>
      <c r="T3" s="10"/>
      <c r="U3" s="10"/>
    </row>
    <row r="4" spans="1:21" ht="15.75" customHeight="1">
      <c r="A4" s="6" t="s">
        <v>9</v>
      </c>
      <c r="B4" s="7" t="s">
        <v>10</v>
      </c>
      <c r="C4" s="7" t="s">
        <v>11</v>
      </c>
      <c r="D4" s="8" t="s">
        <v>12</v>
      </c>
      <c r="E4" s="8" t="s">
        <v>17</v>
      </c>
      <c r="F4" s="8" t="s">
        <v>14</v>
      </c>
      <c r="G4" s="7" t="s">
        <v>15</v>
      </c>
      <c r="H4" s="9">
        <f t="shared" si="0"/>
        <v>3.5</v>
      </c>
      <c r="I4" s="8" t="s">
        <v>85</v>
      </c>
      <c r="J4" s="9">
        <v>30</v>
      </c>
      <c r="K4" s="22">
        <v>1</v>
      </c>
      <c r="L4" s="22">
        <f t="shared" ref="L4:M4" si="2">D134</f>
        <v>698</v>
      </c>
      <c r="M4" s="22">
        <f t="shared" si="2"/>
        <v>347</v>
      </c>
      <c r="N4" s="10"/>
      <c r="O4" s="10"/>
      <c r="P4" s="10"/>
      <c r="Q4" s="10"/>
      <c r="R4" s="10"/>
      <c r="S4" s="10"/>
      <c r="T4" s="10"/>
      <c r="U4" s="10"/>
    </row>
    <row r="5" spans="1:21" ht="15.75" customHeight="1">
      <c r="A5" s="6" t="s">
        <v>9</v>
      </c>
      <c r="B5" s="7" t="s">
        <v>10</v>
      </c>
      <c r="C5" s="7" t="s">
        <v>11</v>
      </c>
      <c r="D5" s="8" t="s">
        <v>12</v>
      </c>
      <c r="E5" s="8" t="s">
        <v>18</v>
      </c>
      <c r="F5" s="8" t="s">
        <v>14</v>
      </c>
      <c r="G5" s="7" t="s">
        <v>15</v>
      </c>
      <c r="H5" s="9">
        <f t="shared" si="0"/>
        <v>3.5</v>
      </c>
      <c r="I5" s="8" t="s">
        <v>85</v>
      </c>
      <c r="J5" s="9">
        <v>30</v>
      </c>
      <c r="K5" s="22">
        <v>1</v>
      </c>
      <c r="L5" s="22">
        <f t="shared" ref="L5:M5" si="3">D135</f>
        <v>698</v>
      </c>
      <c r="M5" s="22">
        <f t="shared" si="3"/>
        <v>397</v>
      </c>
      <c r="N5" s="10"/>
      <c r="O5" s="10"/>
      <c r="P5" s="10"/>
      <c r="Q5" s="10"/>
      <c r="R5" s="10"/>
      <c r="S5" s="10"/>
      <c r="T5" s="10"/>
      <c r="U5" s="10"/>
    </row>
    <row r="6" spans="1:21" ht="15.75" customHeight="1">
      <c r="A6" s="6" t="s">
        <v>9</v>
      </c>
      <c r="B6" s="7" t="s">
        <v>10</v>
      </c>
      <c r="C6" s="7" t="s">
        <v>11</v>
      </c>
      <c r="D6" s="8" t="s">
        <v>12</v>
      </c>
      <c r="E6" s="8" t="s">
        <v>19</v>
      </c>
      <c r="F6" s="8" t="s">
        <v>14</v>
      </c>
      <c r="G6" s="7" t="s">
        <v>15</v>
      </c>
      <c r="H6" s="9">
        <f t="shared" si="0"/>
        <v>3.5</v>
      </c>
      <c r="I6" s="8" t="s">
        <v>85</v>
      </c>
      <c r="J6" s="9">
        <v>30</v>
      </c>
      <c r="K6" s="22">
        <v>1</v>
      </c>
      <c r="L6" s="22">
        <f t="shared" ref="L6:M6" si="4">D136</f>
        <v>698</v>
      </c>
      <c r="M6" s="22">
        <f t="shared" si="4"/>
        <v>447</v>
      </c>
      <c r="N6" s="10"/>
      <c r="O6" s="10"/>
      <c r="P6" s="10"/>
      <c r="Q6" s="10"/>
      <c r="R6" s="10"/>
      <c r="S6" s="10"/>
      <c r="T6" s="10"/>
      <c r="U6" s="10"/>
    </row>
    <row r="7" spans="1:21" ht="15.75" customHeight="1">
      <c r="A7" s="6" t="s">
        <v>9</v>
      </c>
      <c r="B7" s="7" t="s">
        <v>10</v>
      </c>
      <c r="C7" s="7" t="s">
        <v>11</v>
      </c>
      <c r="D7" s="8" t="s">
        <v>12</v>
      </c>
      <c r="E7" s="8" t="s">
        <v>20</v>
      </c>
      <c r="F7" s="8" t="s">
        <v>14</v>
      </c>
      <c r="G7" s="7" t="s">
        <v>15</v>
      </c>
      <c r="H7" s="9">
        <f t="shared" si="0"/>
        <v>3.5</v>
      </c>
      <c r="I7" s="8" t="s">
        <v>85</v>
      </c>
      <c r="J7" s="9">
        <v>30</v>
      </c>
      <c r="K7" s="22">
        <v>1</v>
      </c>
      <c r="L7" s="22">
        <f t="shared" ref="L7:M7" si="5">D137</f>
        <v>698</v>
      </c>
      <c r="M7" s="22">
        <f t="shared" si="5"/>
        <v>497</v>
      </c>
      <c r="N7" s="10"/>
      <c r="O7" s="10"/>
      <c r="P7" s="10"/>
      <c r="Q7" s="10"/>
      <c r="R7" s="10"/>
      <c r="S7" s="10"/>
      <c r="T7" s="10"/>
      <c r="U7" s="10"/>
    </row>
    <row r="8" spans="1:21" ht="15.75" customHeight="1">
      <c r="A8" s="6" t="s">
        <v>9</v>
      </c>
      <c r="B8" s="7" t="s">
        <v>10</v>
      </c>
      <c r="C8" s="7" t="s">
        <v>11</v>
      </c>
      <c r="D8" s="8" t="s">
        <v>12</v>
      </c>
      <c r="E8" s="8" t="s">
        <v>21</v>
      </c>
      <c r="F8" s="8" t="s">
        <v>14</v>
      </c>
      <c r="G8" s="7" t="s">
        <v>15</v>
      </c>
      <c r="H8" s="9">
        <f t="shared" si="0"/>
        <v>3.5</v>
      </c>
      <c r="I8" s="8" t="s">
        <v>85</v>
      </c>
      <c r="J8" s="9">
        <v>30</v>
      </c>
      <c r="K8" s="22">
        <v>1</v>
      </c>
      <c r="L8" s="22">
        <f t="shared" ref="L8:M8" si="6">D138</f>
        <v>698</v>
      </c>
      <c r="M8" s="22">
        <f t="shared" si="6"/>
        <v>597</v>
      </c>
      <c r="N8" s="10"/>
      <c r="O8" s="10"/>
      <c r="P8" s="10"/>
      <c r="Q8" s="10"/>
      <c r="R8" s="10"/>
      <c r="S8" s="10"/>
      <c r="T8" s="10"/>
      <c r="U8" s="10"/>
    </row>
    <row r="9" spans="1:21" ht="15.75" customHeight="1">
      <c r="A9" s="6" t="s">
        <v>9</v>
      </c>
      <c r="B9" s="7" t="s">
        <v>10</v>
      </c>
      <c r="C9" s="7" t="s">
        <v>11</v>
      </c>
      <c r="D9" s="8" t="s">
        <v>12</v>
      </c>
      <c r="E9" s="8" t="s">
        <v>12</v>
      </c>
      <c r="F9" s="8" t="s">
        <v>14</v>
      </c>
      <c r="G9" s="7" t="s">
        <v>15</v>
      </c>
      <c r="H9" s="9">
        <f t="shared" si="0"/>
        <v>3.5</v>
      </c>
      <c r="I9" s="8" t="s">
        <v>85</v>
      </c>
      <c r="J9" s="9">
        <v>30</v>
      </c>
      <c r="K9" s="10">
        <v>2</v>
      </c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.75" customHeight="1">
      <c r="A10" s="6" t="s">
        <v>9</v>
      </c>
      <c r="B10" s="7" t="s">
        <v>10</v>
      </c>
      <c r="C10" s="7" t="s">
        <v>11</v>
      </c>
      <c r="D10" s="8" t="s">
        <v>12</v>
      </c>
      <c r="E10" s="8" t="s">
        <v>22</v>
      </c>
      <c r="F10" s="8" t="s">
        <v>14</v>
      </c>
      <c r="G10" s="7" t="s">
        <v>15</v>
      </c>
      <c r="H10" s="9">
        <f t="shared" si="0"/>
        <v>3.5</v>
      </c>
      <c r="I10" s="8" t="s">
        <v>85</v>
      </c>
      <c r="J10" s="9">
        <v>30</v>
      </c>
      <c r="K10" s="10">
        <v>2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75" customHeight="1">
      <c r="A11" s="6" t="s">
        <v>9</v>
      </c>
      <c r="B11" s="7" t="s">
        <v>10</v>
      </c>
      <c r="C11" s="7" t="s">
        <v>11</v>
      </c>
      <c r="D11" s="8" t="s">
        <v>12</v>
      </c>
      <c r="E11" s="8" t="s">
        <v>23</v>
      </c>
      <c r="F11" s="8" t="s">
        <v>14</v>
      </c>
      <c r="G11" s="7" t="s">
        <v>15</v>
      </c>
      <c r="H11" s="9">
        <f t="shared" si="0"/>
        <v>3.5</v>
      </c>
      <c r="I11" s="8" t="s">
        <v>85</v>
      </c>
      <c r="J11" s="9">
        <v>30</v>
      </c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75" customHeight="1">
      <c r="A12" s="6" t="s">
        <v>9</v>
      </c>
      <c r="B12" s="7" t="s">
        <v>10</v>
      </c>
      <c r="C12" s="7" t="s">
        <v>11</v>
      </c>
      <c r="D12" s="8" t="s">
        <v>12</v>
      </c>
      <c r="E12" s="8" t="s">
        <v>24</v>
      </c>
      <c r="F12" s="8" t="s">
        <v>14</v>
      </c>
      <c r="G12" s="7" t="s">
        <v>15</v>
      </c>
      <c r="H12" s="9">
        <f t="shared" si="0"/>
        <v>3.5</v>
      </c>
      <c r="I12" s="8" t="s">
        <v>85</v>
      </c>
      <c r="J12" s="9">
        <v>30</v>
      </c>
      <c r="K12" s="10">
        <v>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customHeight="1">
      <c r="A13" s="6" t="s">
        <v>9</v>
      </c>
      <c r="B13" s="7" t="s">
        <v>10</v>
      </c>
      <c r="C13" s="7" t="s">
        <v>11</v>
      </c>
      <c r="D13" s="8" t="s">
        <v>12</v>
      </c>
      <c r="E13" s="8" t="s">
        <v>25</v>
      </c>
      <c r="F13" s="8" t="s">
        <v>14</v>
      </c>
      <c r="G13" s="7" t="s">
        <v>15</v>
      </c>
      <c r="H13" s="9">
        <f t="shared" si="0"/>
        <v>3.5</v>
      </c>
      <c r="I13" s="8" t="s">
        <v>85</v>
      </c>
      <c r="J13" s="9">
        <v>30</v>
      </c>
      <c r="K13" s="10">
        <v>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75" customHeight="1">
      <c r="A14" s="6" t="s">
        <v>9</v>
      </c>
      <c r="B14" s="7" t="s">
        <v>26</v>
      </c>
      <c r="C14" s="7" t="s">
        <v>11</v>
      </c>
      <c r="D14" s="8" t="s">
        <v>22</v>
      </c>
      <c r="E14" s="8" t="s">
        <v>13</v>
      </c>
      <c r="F14" s="8" t="s">
        <v>14</v>
      </c>
      <c r="G14" s="7" t="s">
        <v>15</v>
      </c>
      <c r="H14" s="9">
        <f t="shared" si="0"/>
        <v>3.5</v>
      </c>
      <c r="I14" s="8" t="s">
        <v>85</v>
      </c>
      <c r="J14" s="9">
        <v>30</v>
      </c>
      <c r="K14" s="22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75" customHeight="1">
      <c r="A15" s="6" t="s">
        <v>9</v>
      </c>
      <c r="B15" s="7" t="s">
        <v>26</v>
      </c>
      <c r="C15" s="7" t="s">
        <v>11</v>
      </c>
      <c r="D15" s="8" t="s">
        <v>22</v>
      </c>
      <c r="E15" s="8" t="s">
        <v>16</v>
      </c>
      <c r="F15" s="8" t="s">
        <v>14</v>
      </c>
      <c r="G15" s="7" t="s">
        <v>15</v>
      </c>
      <c r="H15" s="9">
        <f t="shared" si="0"/>
        <v>3.5</v>
      </c>
      <c r="I15" s="8" t="s">
        <v>85</v>
      </c>
      <c r="J15" s="9">
        <v>30</v>
      </c>
      <c r="K15" s="22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75" customHeight="1">
      <c r="A16" s="6" t="s">
        <v>9</v>
      </c>
      <c r="B16" s="7" t="s">
        <v>26</v>
      </c>
      <c r="C16" s="7" t="s">
        <v>11</v>
      </c>
      <c r="D16" s="8" t="s">
        <v>22</v>
      </c>
      <c r="E16" s="8" t="s">
        <v>17</v>
      </c>
      <c r="F16" s="8" t="s">
        <v>14</v>
      </c>
      <c r="G16" s="7" t="s">
        <v>15</v>
      </c>
      <c r="H16" s="9">
        <f t="shared" si="0"/>
        <v>3.5</v>
      </c>
      <c r="I16" s="8" t="s">
        <v>85</v>
      </c>
      <c r="J16" s="9">
        <v>30</v>
      </c>
      <c r="K16" s="22">
        <v>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75" customHeight="1">
      <c r="A17" s="6" t="s">
        <v>9</v>
      </c>
      <c r="B17" s="7" t="s">
        <v>26</v>
      </c>
      <c r="C17" s="7" t="s">
        <v>11</v>
      </c>
      <c r="D17" s="8" t="s">
        <v>22</v>
      </c>
      <c r="E17" s="8" t="s">
        <v>18</v>
      </c>
      <c r="F17" s="8" t="s">
        <v>14</v>
      </c>
      <c r="G17" s="7" t="s">
        <v>15</v>
      </c>
      <c r="H17" s="9">
        <f t="shared" si="0"/>
        <v>3.5</v>
      </c>
      <c r="I17" s="8" t="s">
        <v>85</v>
      </c>
      <c r="J17" s="9">
        <v>30</v>
      </c>
      <c r="K17" s="22">
        <v>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>
      <c r="A18" s="6" t="s">
        <v>9</v>
      </c>
      <c r="B18" s="7" t="s">
        <v>26</v>
      </c>
      <c r="C18" s="7" t="s">
        <v>11</v>
      </c>
      <c r="D18" s="8" t="s">
        <v>22</v>
      </c>
      <c r="E18" s="8" t="s">
        <v>19</v>
      </c>
      <c r="F18" s="8" t="s">
        <v>14</v>
      </c>
      <c r="G18" s="7" t="s">
        <v>15</v>
      </c>
      <c r="H18" s="9">
        <f t="shared" si="0"/>
        <v>3.5</v>
      </c>
      <c r="I18" s="8" t="s">
        <v>85</v>
      </c>
      <c r="J18" s="9">
        <v>30</v>
      </c>
      <c r="K18" s="22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75" customHeight="1">
      <c r="A19" s="6" t="s">
        <v>9</v>
      </c>
      <c r="B19" s="7" t="s">
        <v>26</v>
      </c>
      <c r="C19" s="7" t="s">
        <v>11</v>
      </c>
      <c r="D19" s="8" t="s">
        <v>22</v>
      </c>
      <c r="E19" s="8" t="s">
        <v>20</v>
      </c>
      <c r="F19" s="8" t="s">
        <v>14</v>
      </c>
      <c r="G19" s="7" t="s">
        <v>15</v>
      </c>
      <c r="H19" s="9">
        <f t="shared" si="0"/>
        <v>3.5</v>
      </c>
      <c r="I19" s="8" t="s">
        <v>85</v>
      </c>
      <c r="J19" s="9">
        <v>30</v>
      </c>
      <c r="K19" s="22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5.75" customHeight="1">
      <c r="A20" s="6" t="s">
        <v>9</v>
      </c>
      <c r="B20" s="7" t="s">
        <v>26</v>
      </c>
      <c r="C20" s="7" t="s">
        <v>11</v>
      </c>
      <c r="D20" s="8" t="s">
        <v>22</v>
      </c>
      <c r="E20" s="8" t="s">
        <v>21</v>
      </c>
      <c r="F20" s="8" t="s">
        <v>14</v>
      </c>
      <c r="G20" s="7" t="s">
        <v>15</v>
      </c>
      <c r="H20" s="9">
        <f t="shared" si="0"/>
        <v>3.5</v>
      </c>
      <c r="I20" s="8" t="s">
        <v>85</v>
      </c>
      <c r="J20" s="9">
        <v>30</v>
      </c>
      <c r="K20" s="22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5.75" customHeight="1">
      <c r="A21" s="6" t="s">
        <v>9</v>
      </c>
      <c r="B21" s="7" t="s">
        <v>26</v>
      </c>
      <c r="C21" s="7" t="s">
        <v>11</v>
      </c>
      <c r="D21" s="8" t="s">
        <v>22</v>
      </c>
      <c r="E21" s="8" t="s">
        <v>12</v>
      </c>
      <c r="F21" s="8" t="s">
        <v>14</v>
      </c>
      <c r="G21" s="7" t="s">
        <v>15</v>
      </c>
      <c r="H21" s="9">
        <f t="shared" si="0"/>
        <v>3.5</v>
      </c>
      <c r="I21" s="8" t="s">
        <v>85</v>
      </c>
      <c r="J21" s="9">
        <v>30</v>
      </c>
      <c r="K21" s="10">
        <v>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5.75" customHeight="1">
      <c r="A22" s="6" t="s">
        <v>9</v>
      </c>
      <c r="B22" s="7" t="s">
        <v>26</v>
      </c>
      <c r="C22" s="7" t="s">
        <v>11</v>
      </c>
      <c r="D22" s="8" t="s">
        <v>22</v>
      </c>
      <c r="E22" s="8" t="s">
        <v>22</v>
      </c>
      <c r="F22" s="8" t="s">
        <v>14</v>
      </c>
      <c r="G22" s="7" t="s">
        <v>15</v>
      </c>
      <c r="H22" s="9">
        <f t="shared" si="0"/>
        <v>3.5</v>
      </c>
      <c r="I22" s="8" t="s">
        <v>85</v>
      </c>
      <c r="J22" s="9">
        <v>30</v>
      </c>
      <c r="K22" s="10">
        <v>2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5.75" customHeight="1">
      <c r="A23" s="6" t="s">
        <v>9</v>
      </c>
      <c r="B23" s="7" t="s">
        <v>26</v>
      </c>
      <c r="C23" s="7" t="s">
        <v>11</v>
      </c>
      <c r="D23" s="8" t="s">
        <v>22</v>
      </c>
      <c r="E23" s="8" t="s">
        <v>23</v>
      </c>
      <c r="F23" s="8" t="s">
        <v>14</v>
      </c>
      <c r="G23" s="7" t="s">
        <v>15</v>
      </c>
      <c r="H23" s="9">
        <f t="shared" si="0"/>
        <v>3.5</v>
      </c>
      <c r="I23" s="8" t="s">
        <v>85</v>
      </c>
      <c r="J23" s="9">
        <v>30</v>
      </c>
      <c r="K23" s="10">
        <v>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5.75" customHeight="1">
      <c r="A24" s="6" t="s">
        <v>9</v>
      </c>
      <c r="B24" s="7" t="s">
        <v>26</v>
      </c>
      <c r="C24" s="7" t="s">
        <v>11</v>
      </c>
      <c r="D24" s="8" t="s">
        <v>22</v>
      </c>
      <c r="E24" s="8" t="s">
        <v>24</v>
      </c>
      <c r="F24" s="8" t="s">
        <v>14</v>
      </c>
      <c r="G24" s="7" t="s">
        <v>15</v>
      </c>
      <c r="H24" s="9">
        <f t="shared" si="0"/>
        <v>3.5</v>
      </c>
      <c r="I24" s="8" t="s">
        <v>85</v>
      </c>
      <c r="J24" s="9">
        <v>30</v>
      </c>
      <c r="K24" s="10">
        <v>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5.75" customHeight="1">
      <c r="A25" s="6" t="s">
        <v>9</v>
      </c>
      <c r="B25" s="7" t="s">
        <v>26</v>
      </c>
      <c r="C25" s="7" t="s">
        <v>11</v>
      </c>
      <c r="D25" s="8" t="s">
        <v>22</v>
      </c>
      <c r="E25" s="8" t="s">
        <v>25</v>
      </c>
      <c r="F25" s="8" t="s">
        <v>14</v>
      </c>
      <c r="G25" s="7" t="s">
        <v>15</v>
      </c>
      <c r="H25" s="9">
        <f t="shared" si="0"/>
        <v>3.5</v>
      </c>
      <c r="I25" s="8" t="s">
        <v>85</v>
      </c>
      <c r="J25" s="9">
        <v>30</v>
      </c>
      <c r="K25" s="10">
        <v>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5.75" customHeight="1">
      <c r="A26" s="6" t="s">
        <v>9</v>
      </c>
      <c r="B26" s="11" t="s">
        <v>27</v>
      </c>
      <c r="C26" s="11" t="s">
        <v>28</v>
      </c>
      <c r="D26" s="8" t="s">
        <v>12</v>
      </c>
      <c r="E26" s="8" t="s">
        <v>19</v>
      </c>
      <c r="F26" s="8" t="s">
        <v>14</v>
      </c>
      <c r="G26" s="7" t="s">
        <v>15</v>
      </c>
      <c r="H26" s="9">
        <f t="shared" si="0"/>
        <v>3.5</v>
      </c>
      <c r="I26" s="8" t="s">
        <v>85</v>
      </c>
      <c r="J26" s="9">
        <v>30</v>
      </c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15.75" customHeight="1">
      <c r="A27" s="6" t="s">
        <v>9</v>
      </c>
      <c r="B27" s="11" t="s">
        <v>27</v>
      </c>
      <c r="C27" s="11" t="s">
        <v>28</v>
      </c>
      <c r="D27" s="8" t="s">
        <v>12</v>
      </c>
      <c r="E27" s="8" t="s">
        <v>20</v>
      </c>
      <c r="F27" s="8" t="s">
        <v>14</v>
      </c>
      <c r="G27" s="7" t="s">
        <v>15</v>
      </c>
      <c r="H27" s="9">
        <f t="shared" si="0"/>
        <v>3.5</v>
      </c>
      <c r="I27" s="8" t="s">
        <v>85</v>
      </c>
      <c r="J27" s="9">
        <v>30</v>
      </c>
      <c r="K27" s="10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5.75" customHeight="1">
      <c r="A28" s="6" t="s">
        <v>9</v>
      </c>
      <c r="B28" s="11" t="s">
        <v>27</v>
      </c>
      <c r="C28" s="11" t="s">
        <v>28</v>
      </c>
      <c r="D28" s="8" t="s">
        <v>12</v>
      </c>
      <c r="E28" s="8" t="s">
        <v>21</v>
      </c>
      <c r="F28" s="8" t="s">
        <v>14</v>
      </c>
      <c r="G28" s="7" t="s">
        <v>15</v>
      </c>
      <c r="H28" s="9">
        <f t="shared" si="0"/>
        <v>3.5</v>
      </c>
      <c r="I28" s="8" t="s">
        <v>85</v>
      </c>
      <c r="J28" s="9">
        <v>30</v>
      </c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5.75" customHeight="1">
      <c r="A29" s="6" t="s">
        <v>9</v>
      </c>
      <c r="B29" s="11" t="s">
        <v>27</v>
      </c>
      <c r="C29" s="11" t="s">
        <v>28</v>
      </c>
      <c r="D29" s="8" t="s">
        <v>12</v>
      </c>
      <c r="E29" s="8" t="s">
        <v>12</v>
      </c>
      <c r="F29" s="8" t="s">
        <v>14</v>
      </c>
      <c r="G29" s="7" t="s">
        <v>15</v>
      </c>
      <c r="H29" s="9">
        <f t="shared" si="0"/>
        <v>3.5</v>
      </c>
      <c r="I29" s="8" t="s">
        <v>85</v>
      </c>
      <c r="J29" s="9">
        <v>30</v>
      </c>
      <c r="K29" s="10">
        <v>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15.75" customHeight="1">
      <c r="A30" s="6" t="s">
        <v>9</v>
      </c>
      <c r="B30" s="11" t="s">
        <v>27</v>
      </c>
      <c r="C30" s="11" t="s">
        <v>28</v>
      </c>
      <c r="D30" s="8" t="s">
        <v>12</v>
      </c>
      <c r="E30" s="8" t="s">
        <v>22</v>
      </c>
      <c r="F30" s="8" t="s">
        <v>14</v>
      </c>
      <c r="G30" s="7" t="s">
        <v>15</v>
      </c>
      <c r="H30" s="9">
        <f t="shared" si="0"/>
        <v>3.5</v>
      </c>
      <c r="I30" s="8" t="s">
        <v>85</v>
      </c>
      <c r="J30" s="9">
        <v>30</v>
      </c>
      <c r="K30" s="10">
        <v>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15.75" customHeight="1">
      <c r="A31" s="6" t="s">
        <v>9</v>
      </c>
      <c r="B31" s="11" t="s">
        <v>27</v>
      </c>
      <c r="C31" s="11" t="s">
        <v>28</v>
      </c>
      <c r="D31" s="8" t="s">
        <v>12</v>
      </c>
      <c r="E31" s="8" t="s">
        <v>23</v>
      </c>
      <c r="F31" s="8" t="s">
        <v>14</v>
      </c>
      <c r="G31" s="7" t="s">
        <v>15</v>
      </c>
      <c r="H31" s="9">
        <f t="shared" si="0"/>
        <v>3.5</v>
      </c>
      <c r="I31" s="8" t="s">
        <v>85</v>
      </c>
      <c r="J31" s="9">
        <v>30</v>
      </c>
      <c r="K31" s="10">
        <v>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15.75" customHeight="1">
      <c r="A32" s="6" t="s">
        <v>9</v>
      </c>
      <c r="B32" s="11" t="s">
        <v>27</v>
      </c>
      <c r="C32" s="11" t="s">
        <v>28</v>
      </c>
      <c r="D32" s="8" t="s">
        <v>12</v>
      </c>
      <c r="E32" s="8" t="s">
        <v>24</v>
      </c>
      <c r="F32" s="8" t="s">
        <v>14</v>
      </c>
      <c r="G32" s="7" t="s">
        <v>15</v>
      </c>
      <c r="H32" s="9">
        <f t="shared" si="0"/>
        <v>3.5</v>
      </c>
      <c r="I32" s="8" t="s">
        <v>85</v>
      </c>
      <c r="J32" s="9">
        <v>30</v>
      </c>
      <c r="K32" s="10">
        <v>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15.75" customHeight="1">
      <c r="A33" s="6" t="s">
        <v>9</v>
      </c>
      <c r="B33" s="11" t="s">
        <v>27</v>
      </c>
      <c r="C33" s="11" t="s">
        <v>28</v>
      </c>
      <c r="D33" s="8" t="s">
        <v>12</v>
      </c>
      <c r="E33" s="8" t="s">
        <v>25</v>
      </c>
      <c r="F33" s="8" t="s">
        <v>14</v>
      </c>
      <c r="G33" s="7" t="s">
        <v>15</v>
      </c>
      <c r="H33" s="9">
        <f t="shared" si="0"/>
        <v>3.5</v>
      </c>
      <c r="I33" s="8" t="s">
        <v>85</v>
      </c>
      <c r="J33" s="9">
        <v>30</v>
      </c>
      <c r="K33" s="10">
        <v>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.75" customHeight="1">
      <c r="A34" s="6" t="s">
        <v>9</v>
      </c>
      <c r="B34" s="11" t="s">
        <v>29</v>
      </c>
      <c r="C34" s="11" t="s">
        <v>28</v>
      </c>
      <c r="D34" s="8" t="s">
        <v>22</v>
      </c>
      <c r="E34" s="8" t="s">
        <v>19</v>
      </c>
      <c r="F34" s="8" t="s">
        <v>14</v>
      </c>
      <c r="G34" s="7" t="s">
        <v>15</v>
      </c>
      <c r="H34" s="9">
        <f t="shared" si="0"/>
        <v>3.5</v>
      </c>
      <c r="I34" s="8" t="s">
        <v>85</v>
      </c>
      <c r="J34" s="9">
        <v>30</v>
      </c>
      <c r="K34" s="10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5.75" customHeight="1">
      <c r="A35" s="6" t="s">
        <v>9</v>
      </c>
      <c r="B35" s="11" t="s">
        <v>29</v>
      </c>
      <c r="C35" s="11" t="s">
        <v>28</v>
      </c>
      <c r="D35" s="8" t="s">
        <v>22</v>
      </c>
      <c r="E35" s="8" t="s">
        <v>20</v>
      </c>
      <c r="F35" s="8" t="s">
        <v>14</v>
      </c>
      <c r="G35" s="7" t="s">
        <v>15</v>
      </c>
      <c r="H35" s="9">
        <f t="shared" si="0"/>
        <v>3.5</v>
      </c>
      <c r="I35" s="8" t="s">
        <v>85</v>
      </c>
      <c r="J35" s="9">
        <v>30</v>
      </c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5.75" customHeight="1">
      <c r="A36" s="6" t="s">
        <v>9</v>
      </c>
      <c r="B36" s="11" t="s">
        <v>29</v>
      </c>
      <c r="C36" s="11" t="s">
        <v>28</v>
      </c>
      <c r="D36" s="8" t="s">
        <v>22</v>
      </c>
      <c r="E36" s="8" t="s">
        <v>21</v>
      </c>
      <c r="F36" s="8" t="s">
        <v>14</v>
      </c>
      <c r="G36" s="7" t="s">
        <v>15</v>
      </c>
      <c r="H36" s="9">
        <f t="shared" si="0"/>
        <v>3.5</v>
      </c>
      <c r="I36" s="8" t="s">
        <v>85</v>
      </c>
      <c r="J36" s="9">
        <v>30</v>
      </c>
      <c r="K36" s="10">
        <v>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5.75" customHeight="1">
      <c r="A37" s="6" t="s">
        <v>9</v>
      </c>
      <c r="B37" s="11" t="s">
        <v>29</v>
      </c>
      <c r="C37" s="11" t="s">
        <v>28</v>
      </c>
      <c r="D37" s="8" t="s">
        <v>22</v>
      </c>
      <c r="E37" s="8" t="s">
        <v>12</v>
      </c>
      <c r="F37" s="8" t="s">
        <v>14</v>
      </c>
      <c r="G37" s="7" t="s">
        <v>15</v>
      </c>
      <c r="H37" s="9">
        <f t="shared" si="0"/>
        <v>3.5</v>
      </c>
      <c r="I37" s="8" t="s">
        <v>85</v>
      </c>
      <c r="J37" s="9">
        <v>30</v>
      </c>
      <c r="K37" s="10">
        <v>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15.75" customHeight="1">
      <c r="A38" s="6" t="s">
        <v>9</v>
      </c>
      <c r="B38" s="11" t="s">
        <v>29</v>
      </c>
      <c r="C38" s="11" t="s">
        <v>28</v>
      </c>
      <c r="D38" s="8" t="s">
        <v>22</v>
      </c>
      <c r="E38" s="8" t="s">
        <v>22</v>
      </c>
      <c r="F38" s="8" t="s">
        <v>14</v>
      </c>
      <c r="G38" s="7" t="s">
        <v>15</v>
      </c>
      <c r="H38" s="9">
        <f t="shared" si="0"/>
        <v>3.5</v>
      </c>
      <c r="I38" s="8" t="s">
        <v>85</v>
      </c>
      <c r="J38" s="9">
        <v>30</v>
      </c>
      <c r="K38" s="10">
        <v>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15.75" customHeight="1">
      <c r="A39" s="6" t="s">
        <v>9</v>
      </c>
      <c r="B39" s="11" t="s">
        <v>29</v>
      </c>
      <c r="C39" s="11" t="s">
        <v>28</v>
      </c>
      <c r="D39" s="8" t="s">
        <v>22</v>
      </c>
      <c r="E39" s="8" t="s">
        <v>23</v>
      </c>
      <c r="F39" s="8" t="s">
        <v>14</v>
      </c>
      <c r="G39" s="7" t="s">
        <v>15</v>
      </c>
      <c r="H39" s="9">
        <f t="shared" si="0"/>
        <v>3.5</v>
      </c>
      <c r="I39" s="8" t="s">
        <v>85</v>
      </c>
      <c r="J39" s="9">
        <v>30</v>
      </c>
      <c r="K39" s="10">
        <v>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15.75" customHeight="1">
      <c r="A40" s="6" t="s">
        <v>9</v>
      </c>
      <c r="B40" s="11" t="s">
        <v>29</v>
      </c>
      <c r="C40" s="11" t="s">
        <v>28</v>
      </c>
      <c r="D40" s="8" t="s">
        <v>22</v>
      </c>
      <c r="E40" s="8" t="s">
        <v>24</v>
      </c>
      <c r="F40" s="8" t="s">
        <v>14</v>
      </c>
      <c r="G40" s="7" t="s">
        <v>15</v>
      </c>
      <c r="H40" s="9">
        <f t="shared" si="0"/>
        <v>3.5</v>
      </c>
      <c r="I40" s="8" t="s">
        <v>85</v>
      </c>
      <c r="J40" s="9">
        <v>30</v>
      </c>
      <c r="K40" s="10">
        <v>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15.75" customHeight="1">
      <c r="A41" s="6" t="s">
        <v>9</v>
      </c>
      <c r="B41" s="11" t="s">
        <v>29</v>
      </c>
      <c r="C41" s="11" t="s">
        <v>28</v>
      </c>
      <c r="D41" s="8" t="s">
        <v>22</v>
      </c>
      <c r="E41" s="8" t="s">
        <v>25</v>
      </c>
      <c r="F41" s="8" t="s">
        <v>14</v>
      </c>
      <c r="G41" s="7" t="s">
        <v>15</v>
      </c>
      <c r="H41" s="9">
        <f t="shared" si="0"/>
        <v>3.5</v>
      </c>
      <c r="I41" s="8" t="s">
        <v>85</v>
      </c>
      <c r="J41" s="9">
        <v>30</v>
      </c>
      <c r="K41" s="10">
        <v>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15.75" customHeight="1">
      <c r="A42" s="6" t="s">
        <v>9</v>
      </c>
      <c r="B42" s="11" t="s">
        <v>30</v>
      </c>
      <c r="C42" s="11" t="s">
        <v>31</v>
      </c>
      <c r="D42" s="8" t="s">
        <v>12</v>
      </c>
      <c r="E42" s="8" t="s">
        <v>32</v>
      </c>
      <c r="F42" s="8" t="s">
        <v>14</v>
      </c>
      <c r="G42" s="7" t="s">
        <v>15</v>
      </c>
      <c r="H42" s="9">
        <f t="shared" si="0"/>
        <v>3.5</v>
      </c>
      <c r="I42" s="8" t="s">
        <v>85</v>
      </c>
      <c r="J42" s="9">
        <v>30</v>
      </c>
      <c r="K42" s="10">
        <v>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5.75" customHeight="1">
      <c r="A43" s="6" t="s">
        <v>9</v>
      </c>
      <c r="B43" s="11" t="s">
        <v>30</v>
      </c>
      <c r="C43" s="11" t="s">
        <v>31</v>
      </c>
      <c r="D43" s="8" t="s">
        <v>22</v>
      </c>
      <c r="E43" s="8" t="s">
        <v>32</v>
      </c>
      <c r="F43" s="8" t="s">
        <v>14</v>
      </c>
      <c r="G43" s="7" t="s">
        <v>15</v>
      </c>
      <c r="H43" s="9">
        <f t="shared" si="0"/>
        <v>3.5</v>
      </c>
      <c r="I43" s="8" t="s">
        <v>85</v>
      </c>
      <c r="J43" s="9">
        <v>30</v>
      </c>
      <c r="K43" s="10">
        <v>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15.75" customHeight="1">
      <c r="A44" s="6" t="s">
        <v>9</v>
      </c>
      <c r="B44" s="7" t="s">
        <v>33</v>
      </c>
      <c r="C44" s="7" t="s">
        <v>34</v>
      </c>
      <c r="D44" s="8" t="s">
        <v>35</v>
      </c>
      <c r="E44" s="8" t="s">
        <v>18</v>
      </c>
      <c r="F44" s="8" t="s">
        <v>14</v>
      </c>
      <c r="G44" s="7" t="s">
        <v>15</v>
      </c>
      <c r="H44" s="9">
        <f t="shared" si="0"/>
        <v>3.5</v>
      </c>
      <c r="I44" s="8" t="s">
        <v>85</v>
      </c>
      <c r="J44" s="9">
        <v>30</v>
      </c>
      <c r="K44" s="10">
        <v>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15.75" customHeight="1">
      <c r="A45" s="6" t="s">
        <v>9</v>
      </c>
      <c r="B45" s="7" t="s">
        <v>36</v>
      </c>
      <c r="C45" s="7" t="s">
        <v>34</v>
      </c>
      <c r="D45" s="8" t="s">
        <v>37</v>
      </c>
      <c r="E45" s="8" t="s">
        <v>18</v>
      </c>
      <c r="F45" s="8" t="s">
        <v>14</v>
      </c>
      <c r="G45" s="7" t="s">
        <v>15</v>
      </c>
      <c r="H45" s="9">
        <f t="shared" si="0"/>
        <v>3.5</v>
      </c>
      <c r="I45" s="8" t="s">
        <v>85</v>
      </c>
      <c r="J45" s="9">
        <v>30</v>
      </c>
      <c r="K45" s="10">
        <v>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ht="15.75" customHeight="1">
      <c r="A46" s="6" t="s">
        <v>9</v>
      </c>
      <c r="B46" s="7" t="s">
        <v>38</v>
      </c>
      <c r="C46" s="7" t="s">
        <v>34</v>
      </c>
      <c r="D46" s="8" t="s">
        <v>39</v>
      </c>
      <c r="E46" s="8" t="s">
        <v>18</v>
      </c>
      <c r="F46" s="8" t="s">
        <v>14</v>
      </c>
      <c r="G46" s="7" t="s">
        <v>15</v>
      </c>
      <c r="H46" s="9">
        <f t="shared" si="0"/>
        <v>3.5</v>
      </c>
      <c r="I46" s="8" t="s">
        <v>85</v>
      </c>
      <c r="J46" s="9">
        <v>30</v>
      </c>
      <c r="K46" s="10">
        <v>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15.75" customHeight="1">
      <c r="A47" s="6" t="s">
        <v>9</v>
      </c>
      <c r="B47" s="7" t="s">
        <v>33</v>
      </c>
      <c r="C47" s="7" t="s">
        <v>34</v>
      </c>
      <c r="D47" s="8" t="s">
        <v>35</v>
      </c>
      <c r="E47" s="8" t="s">
        <v>21</v>
      </c>
      <c r="F47" s="8" t="s">
        <v>14</v>
      </c>
      <c r="G47" s="7" t="s">
        <v>15</v>
      </c>
      <c r="H47" s="9">
        <f t="shared" si="0"/>
        <v>3.5</v>
      </c>
      <c r="I47" s="8" t="s">
        <v>85</v>
      </c>
      <c r="J47" s="9">
        <v>30</v>
      </c>
      <c r="K47" s="10">
        <v>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ht="15.75" customHeight="1">
      <c r="A48" s="6" t="s">
        <v>9</v>
      </c>
      <c r="B48" s="7" t="s">
        <v>36</v>
      </c>
      <c r="C48" s="7" t="s">
        <v>34</v>
      </c>
      <c r="D48" s="8" t="s">
        <v>37</v>
      </c>
      <c r="E48" s="8" t="s">
        <v>21</v>
      </c>
      <c r="F48" s="8" t="s">
        <v>14</v>
      </c>
      <c r="G48" s="7" t="s">
        <v>15</v>
      </c>
      <c r="H48" s="9">
        <f t="shared" si="0"/>
        <v>3.5</v>
      </c>
      <c r="I48" s="8" t="s">
        <v>85</v>
      </c>
      <c r="J48" s="9">
        <v>30</v>
      </c>
      <c r="K48" s="10">
        <v>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ht="15.75" customHeight="1">
      <c r="A49" s="6" t="s">
        <v>9</v>
      </c>
      <c r="B49" s="7" t="s">
        <v>38</v>
      </c>
      <c r="C49" s="7" t="s">
        <v>34</v>
      </c>
      <c r="D49" s="8" t="s">
        <v>39</v>
      </c>
      <c r="E49" s="8" t="s">
        <v>21</v>
      </c>
      <c r="F49" s="8" t="s">
        <v>14</v>
      </c>
      <c r="G49" s="7" t="s">
        <v>15</v>
      </c>
      <c r="H49" s="9">
        <f t="shared" si="0"/>
        <v>3.5</v>
      </c>
      <c r="I49" s="8" t="s">
        <v>85</v>
      </c>
      <c r="J49" s="9">
        <v>30</v>
      </c>
      <c r="K49" s="10">
        <v>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5.75" customHeight="1">
      <c r="A50" s="6" t="s">
        <v>9</v>
      </c>
      <c r="B50" s="11" t="s">
        <v>40</v>
      </c>
      <c r="C50" s="11" t="s">
        <v>41</v>
      </c>
      <c r="D50" s="8"/>
      <c r="E50" s="8" t="s">
        <v>21</v>
      </c>
      <c r="F50" s="8" t="s">
        <v>14</v>
      </c>
      <c r="G50" s="7" t="s">
        <v>15</v>
      </c>
      <c r="H50" s="9">
        <f t="shared" si="0"/>
        <v>3.5</v>
      </c>
      <c r="I50" s="8" t="s">
        <v>85</v>
      </c>
      <c r="J50" s="9">
        <v>30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15.75" customHeight="1">
      <c r="A51" s="6" t="s">
        <v>9</v>
      </c>
      <c r="B51" s="11" t="s">
        <v>40</v>
      </c>
      <c r="C51" s="11" t="s">
        <v>41</v>
      </c>
      <c r="D51" s="8"/>
      <c r="E51" s="8" t="s">
        <v>21</v>
      </c>
      <c r="F51" s="8" t="s">
        <v>14</v>
      </c>
      <c r="G51" s="7" t="s">
        <v>15</v>
      </c>
      <c r="H51" s="9">
        <f t="shared" si="0"/>
        <v>3.5</v>
      </c>
      <c r="I51" s="8" t="s">
        <v>85</v>
      </c>
      <c r="J51" s="9">
        <v>30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 ht="15.75" customHeight="1">
      <c r="A52" s="6" t="s">
        <v>9</v>
      </c>
      <c r="B52" s="12" t="s">
        <v>42</v>
      </c>
      <c r="C52" s="12" t="s">
        <v>43</v>
      </c>
      <c r="D52" s="8" t="s">
        <v>12</v>
      </c>
      <c r="E52" s="8" t="s">
        <v>21</v>
      </c>
      <c r="F52" s="8" t="s">
        <v>14</v>
      </c>
      <c r="G52" s="7" t="s">
        <v>15</v>
      </c>
      <c r="H52" s="9">
        <f t="shared" si="0"/>
        <v>3.5</v>
      </c>
      <c r="I52" s="8" t="s">
        <v>85</v>
      </c>
      <c r="J52" s="9">
        <v>30</v>
      </c>
      <c r="K52" s="10">
        <v>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15.75" customHeight="1">
      <c r="A53" s="6" t="s">
        <v>9</v>
      </c>
      <c r="B53" s="12" t="s">
        <v>44</v>
      </c>
      <c r="C53" s="12" t="s">
        <v>43</v>
      </c>
      <c r="D53" s="8" t="s">
        <v>22</v>
      </c>
      <c r="E53" s="8" t="s">
        <v>21</v>
      </c>
      <c r="F53" s="8" t="s">
        <v>14</v>
      </c>
      <c r="G53" s="7" t="s">
        <v>15</v>
      </c>
      <c r="H53" s="9">
        <f t="shared" si="0"/>
        <v>3.5</v>
      </c>
      <c r="I53" s="8" t="s">
        <v>85</v>
      </c>
      <c r="J53" s="9">
        <v>30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 ht="15.75" customHeight="1">
      <c r="A54" s="6" t="s">
        <v>9</v>
      </c>
      <c r="B54" s="11" t="s">
        <v>45</v>
      </c>
      <c r="C54" s="11" t="s">
        <v>83</v>
      </c>
      <c r="D54" s="8" t="s">
        <v>35</v>
      </c>
      <c r="E54" s="8" t="s">
        <v>21</v>
      </c>
      <c r="F54" s="8" t="s">
        <v>14</v>
      </c>
      <c r="G54" s="7" t="s">
        <v>15</v>
      </c>
      <c r="H54" s="9">
        <f t="shared" si="0"/>
        <v>3.5</v>
      </c>
      <c r="I54" s="8" t="s">
        <v>85</v>
      </c>
      <c r="J54" s="9">
        <v>30</v>
      </c>
      <c r="K54" s="10">
        <v>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 ht="15.75" customHeight="1">
      <c r="A55" s="6" t="s">
        <v>9</v>
      </c>
      <c r="B55" s="11" t="s">
        <v>47</v>
      </c>
      <c r="C55" s="11" t="s">
        <v>46</v>
      </c>
      <c r="D55" s="8" t="s">
        <v>37</v>
      </c>
      <c r="E55" s="8" t="s">
        <v>21</v>
      </c>
      <c r="F55" s="8" t="s">
        <v>14</v>
      </c>
      <c r="G55" s="7" t="s">
        <v>15</v>
      </c>
      <c r="H55" s="9">
        <f t="shared" si="0"/>
        <v>3.5</v>
      </c>
      <c r="I55" s="8" t="s">
        <v>85</v>
      </c>
      <c r="J55" s="9">
        <v>30</v>
      </c>
      <c r="K55" s="10">
        <v>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15.75" customHeight="1">
      <c r="A56" s="6" t="s">
        <v>9</v>
      </c>
      <c r="B56" s="11" t="s">
        <v>48</v>
      </c>
      <c r="C56" s="11" t="s">
        <v>46</v>
      </c>
      <c r="D56" s="8" t="s">
        <v>39</v>
      </c>
      <c r="E56" s="8" t="s">
        <v>21</v>
      </c>
      <c r="F56" s="8" t="s">
        <v>14</v>
      </c>
      <c r="G56" s="7" t="s">
        <v>15</v>
      </c>
      <c r="H56" s="9">
        <f t="shared" si="0"/>
        <v>3.5</v>
      </c>
      <c r="I56" s="8" t="s">
        <v>85</v>
      </c>
      <c r="J56" s="9">
        <v>30</v>
      </c>
      <c r="K56" s="10">
        <v>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 ht="15.75" customHeight="1">
      <c r="A57" s="6" t="s">
        <v>9</v>
      </c>
      <c r="B57" s="7" t="s">
        <v>49</v>
      </c>
      <c r="C57" s="7" t="s">
        <v>50</v>
      </c>
      <c r="D57" s="8" t="s">
        <v>12</v>
      </c>
      <c r="E57" s="8" t="s">
        <v>16</v>
      </c>
      <c r="F57" s="13" t="s">
        <v>51</v>
      </c>
      <c r="G57" s="7" t="s">
        <v>15</v>
      </c>
      <c r="H57" s="9">
        <f t="shared" si="0"/>
        <v>3.5</v>
      </c>
      <c r="I57" s="8" t="s">
        <v>85</v>
      </c>
      <c r="J57" s="9">
        <v>30</v>
      </c>
      <c r="K57" s="10">
        <v>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 ht="15.75" customHeight="1">
      <c r="A58" s="6" t="s">
        <v>9</v>
      </c>
      <c r="B58" s="7" t="s">
        <v>49</v>
      </c>
      <c r="C58" s="7" t="s">
        <v>50</v>
      </c>
      <c r="D58" s="8" t="s">
        <v>12</v>
      </c>
      <c r="E58" s="8" t="s">
        <v>19</v>
      </c>
      <c r="F58" s="13" t="s">
        <v>51</v>
      </c>
      <c r="G58" s="7" t="s">
        <v>15</v>
      </c>
      <c r="H58" s="9">
        <f t="shared" si="0"/>
        <v>3.5</v>
      </c>
      <c r="I58" s="8" t="s">
        <v>85</v>
      </c>
      <c r="J58" s="9">
        <v>30</v>
      </c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15.75" customHeight="1">
      <c r="A59" s="6" t="s">
        <v>9</v>
      </c>
      <c r="B59" s="7" t="s">
        <v>49</v>
      </c>
      <c r="C59" s="7" t="s">
        <v>50</v>
      </c>
      <c r="D59" s="8" t="s">
        <v>12</v>
      </c>
      <c r="E59" s="8" t="s">
        <v>21</v>
      </c>
      <c r="F59" s="13" t="s">
        <v>51</v>
      </c>
      <c r="G59" s="7" t="s">
        <v>15</v>
      </c>
      <c r="H59" s="9">
        <f t="shared" si="0"/>
        <v>3.5</v>
      </c>
      <c r="I59" s="8" t="s">
        <v>85</v>
      </c>
      <c r="J59" s="9">
        <v>30</v>
      </c>
      <c r="K59" s="10">
        <v>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 ht="15.75" customHeight="1">
      <c r="A60" s="6" t="s">
        <v>9</v>
      </c>
      <c r="B60" s="7" t="s">
        <v>52</v>
      </c>
      <c r="C60" s="7" t="s">
        <v>50</v>
      </c>
      <c r="D60" s="8" t="s">
        <v>22</v>
      </c>
      <c r="E60" s="8" t="s">
        <v>16</v>
      </c>
      <c r="F60" s="13" t="s">
        <v>51</v>
      </c>
      <c r="G60" s="7" t="s">
        <v>15</v>
      </c>
      <c r="H60" s="9">
        <f t="shared" si="0"/>
        <v>3.5</v>
      </c>
      <c r="I60" s="8" t="s">
        <v>85</v>
      </c>
      <c r="J60" s="9">
        <v>30</v>
      </c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ht="15.75" customHeight="1">
      <c r="A61" s="6" t="s">
        <v>9</v>
      </c>
      <c r="B61" s="7" t="s">
        <v>52</v>
      </c>
      <c r="C61" s="7" t="s">
        <v>50</v>
      </c>
      <c r="D61" s="8" t="s">
        <v>22</v>
      </c>
      <c r="E61" s="8" t="s">
        <v>19</v>
      </c>
      <c r="F61" s="13" t="s">
        <v>51</v>
      </c>
      <c r="G61" s="7" t="s">
        <v>15</v>
      </c>
      <c r="H61" s="9">
        <f t="shared" si="0"/>
        <v>3.5</v>
      </c>
      <c r="I61" s="8" t="s">
        <v>85</v>
      </c>
      <c r="J61" s="9">
        <v>30</v>
      </c>
      <c r="K61" s="10">
        <v>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 ht="15.75" customHeight="1">
      <c r="A62" s="6" t="s">
        <v>9</v>
      </c>
      <c r="B62" s="7" t="s">
        <v>52</v>
      </c>
      <c r="C62" s="7" t="s">
        <v>50</v>
      </c>
      <c r="D62" s="8" t="s">
        <v>22</v>
      </c>
      <c r="E62" s="8" t="s">
        <v>21</v>
      </c>
      <c r="F62" s="13" t="s">
        <v>51</v>
      </c>
      <c r="G62" s="7" t="s">
        <v>15</v>
      </c>
      <c r="H62" s="9">
        <f t="shared" si="0"/>
        <v>3.5</v>
      </c>
      <c r="I62" s="8" t="s">
        <v>85</v>
      </c>
      <c r="J62" s="9">
        <v>30</v>
      </c>
      <c r="K62" s="10">
        <v>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 ht="15.75" customHeight="1">
      <c r="A63" s="6" t="s">
        <v>9</v>
      </c>
      <c r="B63" s="7" t="s">
        <v>53</v>
      </c>
      <c r="C63" s="7" t="s">
        <v>50</v>
      </c>
      <c r="D63" s="8" t="s">
        <v>23</v>
      </c>
      <c r="E63" s="8" t="s">
        <v>16</v>
      </c>
      <c r="F63" s="13" t="s">
        <v>51</v>
      </c>
      <c r="G63" s="7" t="s">
        <v>15</v>
      </c>
      <c r="H63" s="9">
        <f t="shared" si="0"/>
        <v>3.5</v>
      </c>
      <c r="I63" s="8" t="s">
        <v>85</v>
      </c>
      <c r="J63" s="9">
        <v>30</v>
      </c>
      <c r="K63" s="10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 ht="15.75" customHeight="1">
      <c r="A64" s="6" t="s">
        <v>9</v>
      </c>
      <c r="B64" s="7" t="s">
        <v>53</v>
      </c>
      <c r="C64" s="7" t="s">
        <v>50</v>
      </c>
      <c r="D64" s="8" t="s">
        <v>23</v>
      </c>
      <c r="E64" s="8" t="s">
        <v>19</v>
      </c>
      <c r="F64" s="13" t="s">
        <v>51</v>
      </c>
      <c r="G64" s="7" t="s">
        <v>15</v>
      </c>
      <c r="H64" s="9">
        <f t="shared" si="0"/>
        <v>3.5</v>
      </c>
      <c r="I64" s="8" t="s">
        <v>85</v>
      </c>
      <c r="J64" s="9">
        <v>30</v>
      </c>
      <c r="K64" s="10">
        <v>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5.75" customHeight="1">
      <c r="A65" s="6" t="s">
        <v>9</v>
      </c>
      <c r="B65" s="7" t="s">
        <v>53</v>
      </c>
      <c r="C65" s="7" t="s">
        <v>50</v>
      </c>
      <c r="D65" s="8" t="s">
        <v>23</v>
      </c>
      <c r="E65" s="8" t="s">
        <v>21</v>
      </c>
      <c r="F65" s="13" t="s">
        <v>51</v>
      </c>
      <c r="G65" s="7" t="s">
        <v>15</v>
      </c>
      <c r="H65" s="9">
        <f t="shared" si="0"/>
        <v>3.5</v>
      </c>
      <c r="I65" s="8" t="s">
        <v>85</v>
      </c>
      <c r="J65" s="9">
        <v>30</v>
      </c>
      <c r="K65" s="10">
        <v>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5.75" customHeight="1">
      <c r="A66" s="6" t="s">
        <v>9</v>
      </c>
      <c r="B66" s="7" t="s">
        <v>10</v>
      </c>
      <c r="C66" s="7" t="s">
        <v>11</v>
      </c>
      <c r="D66" s="8" t="s">
        <v>12</v>
      </c>
      <c r="E66" s="8" t="s">
        <v>13</v>
      </c>
      <c r="F66" s="8" t="s">
        <v>14</v>
      </c>
      <c r="G66" s="7" t="s">
        <v>54</v>
      </c>
      <c r="H66" s="9">
        <f t="shared" si="0"/>
        <v>3.5</v>
      </c>
      <c r="I66" s="8" t="s">
        <v>85</v>
      </c>
      <c r="J66" s="9">
        <v>30</v>
      </c>
      <c r="K66" s="22">
        <v>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 ht="15.75" customHeight="1">
      <c r="A67" s="6" t="s">
        <v>9</v>
      </c>
      <c r="B67" s="7" t="s">
        <v>10</v>
      </c>
      <c r="C67" s="7" t="s">
        <v>11</v>
      </c>
      <c r="D67" s="8" t="s">
        <v>12</v>
      </c>
      <c r="E67" s="8" t="s">
        <v>16</v>
      </c>
      <c r="F67" s="8" t="s">
        <v>14</v>
      </c>
      <c r="G67" s="7" t="s">
        <v>54</v>
      </c>
      <c r="H67" s="9">
        <f t="shared" si="0"/>
        <v>3.5</v>
      </c>
      <c r="I67" s="8" t="s">
        <v>85</v>
      </c>
      <c r="J67" s="9">
        <v>30</v>
      </c>
      <c r="K67" s="22" t="s">
        <v>83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 ht="15.75" customHeight="1">
      <c r="A68" s="6" t="s">
        <v>9</v>
      </c>
      <c r="B68" s="7" t="s">
        <v>10</v>
      </c>
      <c r="C68" s="7" t="s">
        <v>11</v>
      </c>
      <c r="D68" s="8" t="s">
        <v>12</v>
      </c>
      <c r="E68" s="8" t="s">
        <v>17</v>
      </c>
      <c r="F68" s="8" t="s">
        <v>14</v>
      </c>
      <c r="G68" s="7" t="s">
        <v>54</v>
      </c>
      <c r="H68" s="9">
        <f t="shared" si="0"/>
        <v>3.5</v>
      </c>
      <c r="I68" s="8" t="s">
        <v>85</v>
      </c>
      <c r="J68" s="9">
        <v>30</v>
      </c>
      <c r="K68" s="22">
        <v>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 ht="15.75" customHeight="1">
      <c r="A69" s="6" t="s">
        <v>9</v>
      </c>
      <c r="B69" s="7" t="s">
        <v>10</v>
      </c>
      <c r="C69" s="7" t="s">
        <v>11</v>
      </c>
      <c r="D69" s="8" t="s">
        <v>12</v>
      </c>
      <c r="E69" s="8" t="s">
        <v>18</v>
      </c>
      <c r="F69" s="8" t="s">
        <v>14</v>
      </c>
      <c r="G69" s="7" t="s">
        <v>54</v>
      </c>
      <c r="H69" s="9">
        <f t="shared" si="0"/>
        <v>3.5</v>
      </c>
      <c r="I69" s="8" t="s">
        <v>85</v>
      </c>
      <c r="J69" s="9">
        <v>30</v>
      </c>
      <c r="K69" s="22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 ht="15.75" customHeight="1">
      <c r="A70" s="6" t="s">
        <v>9</v>
      </c>
      <c r="B70" s="7" t="s">
        <v>10</v>
      </c>
      <c r="C70" s="7" t="s">
        <v>11</v>
      </c>
      <c r="D70" s="8" t="s">
        <v>12</v>
      </c>
      <c r="E70" s="8" t="s">
        <v>19</v>
      </c>
      <c r="F70" s="8" t="s">
        <v>14</v>
      </c>
      <c r="G70" s="7" t="s">
        <v>54</v>
      </c>
      <c r="H70" s="9">
        <f t="shared" si="0"/>
        <v>3.5</v>
      </c>
      <c r="I70" s="8" t="s">
        <v>85</v>
      </c>
      <c r="J70" s="9">
        <v>30</v>
      </c>
      <c r="K70" s="22">
        <v>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15.75" customHeight="1">
      <c r="A71" s="6" t="s">
        <v>9</v>
      </c>
      <c r="B71" s="7" t="s">
        <v>10</v>
      </c>
      <c r="C71" s="7" t="s">
        <v>11</v>
      </c>
      <c r="D71" s="8" t="s">
        <v>12</v>
      </c>
      <c r="E71" s="8" t="s">
        <v>20</v>
      </c>
      <c r="F71" s="8" t="s">
        <v>14</v>
      </c>
      <c r="G71" s="7" t="s">
        <v>54</v>
      </c>
      <c r="H71" s="9">
        <f t="shared" si="0"/>
        <v>3.5</v>
      </c>
      <c r="I71" s="8" t="s">
        <v>85</v>
      </c>
      <c r="J71" s="9">
        <v>30</v>
      </c>
      <c r="K71" s="22">
        <v>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15.75" customHeight="1">
      <c r="A72" s="6" t="s">
        <v>9</v>
      </c>
      <c r="B72" s="7" t="s">
        <v>10</v>
      </c>
      <c r="C72" s="7" t="s">
        <v>11</v>
      </c>
      <c r="D72" s="8" t="s">
        <v>12</v>
      </c>
      <c r="E72" s="8" t="s">
        <v>21</v>
      </c>
      <c r="F72" s="8" t="s">
        <v>14</v>
      </c>
      <c r="G72" s="7" t="s">
        <v>54</v>
      </c>
      <c r="H72" s="9">
        <f t="shared" si="0"/>
        <v>3.5</v>
      </c>
      <c r="I72" s="8" t="s">
        <v>85</v>
      </c>
      <c r="J72" s="9">
        <v>30</v>
      </c>
      <c r="K72" s="22">
        <v>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5.75" customHeight="1">
      <c r="A73" s="6" t="s">
        <v>9</v>
      </c>
      <c r="B73" s="7" t="s">
        <v>10</v>
      </c>
      <c r="C73" s="7" t="s">
        <v>11</v>
      </c>
      <c r="D73" s="8" t="s">
        <v>12</v>
      </c>
      <c r="E73" s="8" t="s">
        <v>12</v>
      </c>
      <c r="F73" s="8" t="s">
        <v>14</v>
      </c>
      <c r="G73" s="7" t="s">
        <v>54</v>
      </c>
      <c r="H73" s="9">
        <f t="shared" si="0"/>
        <v>3.5</v>
      </c>
      <c r="I73" s="8" t="s">
        <v>85</v>
      </c>
      <c r="J73" s="9">
        <v>30</v>
      </c>
      <c r="K73" s="22">
        <v>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 ht="15.75" customHeight="1">
      <c r="A74" s="6" t="s">
        <v>9</v>
      </c>
      <c r="B74" s="7" t="s">
        <v>10</v>
      </c>
      <c r="C74" s="7" t="s">
        <v>11</v>
      </c>
      <c r="D74" s="8" t="s">
        <v>12</v>
      </c>
      <c r="E74" s="8" t="s">
        <v>22</v>
      </c>
      <c r="F74" s="8" t="s">
        <v>14</v>
      </c>
      <c r="G74" s="7" t="s">
        <v>54</v>
      </c>
      <c r="H74" s="9">
        <f t="shared" si="0"/>
        <v>3.5</v>
      </c>
      <c r="I74" s="8" t="s">
        <v>85</v>
      </c>
      <c r="J74" s="9">
        <v>30</v>
      </c>
      <c r="K74" s="22">
        <v>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 ht="15.75" customHeight="1">
      <c r="A75" s="6" t="s">
        <v>9</v>
      </c>
      <c r="B75" s="7" t="s">
        <v>10</v>
      </c>
      <c r="C75" s="7" t="s">
        <v>11</v>
      </c>
      <c r="D75" s="8" t="s">
        <v>12</v>
      </c>
      <c r="E75" s="8" t="s">
        <v>23</v>
      </c>
      <c r="F75" s="8" t="s">
        <v>14</v>
      </c>
      <c r="G75" s="7" t="s">
        <v>54</v>
      </c>
      <c r="H75" s="9">
        <f t="shared" si="0"/>
        <v>3.5</v>
      </c>
      <c r="I75" s="8" t="s">
        <v>85</v>
      </c>
      <c r="J75" s="9">
        <v>30</v>
      </c>
      <c r="K75" s="22">
        <v>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 ht="15.75" customHeight="1">
      <c r="A76" s="6" t="s">
        <v>9</v>
      </c>
      <c r="B76" s="7" t="s">
        <v>10</v>
      </c>
      <c r="C76" s="7" t="s">
        <v>11</v>
      </c>
      <c r="D76" s="8" t="s">
        <v>12</v>
      </c>
      <c r="E76" s="8" t="s">
        <v>24</v>
      </c>
      <c r="F76" s="8" t="s">
        <v>14</v>
      </c>
      <c r="G76" s="7" t="s">
        <v>54</v>
      </c>
      <c r="H76" s="9">
        <f t="shared" si="0"/>
        <v>3.5</v>
      </c>
      <c r="I76" s="8" t="s">
        <v>85</v>
      </c>
      <c r="J76" s="9">
        <v>30</v>
      </c>
      <c r="K76" s="22">
        <v>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 ht="15.75" customHeight="1">
      <c r="A77" s="6" t="s">
        <v>9</v>
      </c>
      <c r="B77" s="7" t="s">
        <v>10</v>
      </c>
      <c r="C77" s="7" t="s">
        <v>11</v>
      </c>
      <c r="D77" s="8" t="s">
        <v>12</v>
      </c>
      <c r="E77" s="8" t="s">
        <v>25</v>
      </c>
      <c r="F77" s="8" t="s">
        <v>14</v>
      </c>
      <c r="G77" s="7" t="s">
        <v>54</v>
      </c>
      <c r="H77" s="9">
        <f t="shared" si="0"/>
        <v>3.5</v>
      </c>
      <c r="I77" s="8" t="s">
        <v>85</v>
      </c>
      <c r="J77" s="9">
        <v>30</v>
      </c>
      <c r="K77" s="22">
        <v>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15.75" customHeight="1">
      <c r="A78" s="6" t="s">
        <v>9</v>
      </c>
      <c r="B78" s="7" t="s">
        <v>26</v>
      </c>
      <c r="C78" s="7" t="s">
        <v>11</v>
      </c>
      <c r="D78" s="8" t="s">
        <v>22</v>
      </c>
      <c r="E78" s="8" t="s">
        <v>13</v>
      </c>
      <c r="F78" s="8" t="s">
        <v>14</v>
      </c>
      <c r="G78" s="7" t="s">
        <v>54</v>
      </c>
      <c r="H78" s="9">
        <f t="shared" si="0"/>
        <v>3.5</v>
      </c>
      <c r="I78" s="8" t="s">
        <v>85</v>
      </c>
      <c r="J78" s="9">
        <v>30</v>
      </c>
      <c r="K78" s="22">
        <v>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 ht="15.75" customHeight="1">
      <c r="A79" s="6" t="s">
        <v>9</v>
      </c>
      <c r="B79" s="7" t="s">
        <v>26</v>
      </c>
      <c r="C79" s="7" t="s">
        <v>11</v>
      </c>
      <c r="D79" s="8" t="s">
        <v>22</v>
      </c>
      <c r="E79" s="8" t="s">
        <v>16</v>
      </c>
      <c r="F79" s="8" t="s">
        <v>14</v>
      </c>
      <c r="G79" s="7" t="s">
        <v>54</v>
      </c>
      <c r="H79" s="9">
        <f t="shared" si="0"/>
        <v>3.5</v>
      </c>
      <c r="I79" s="8" t="s">
        <v>85</v>
      </c>
      <c r="J79" s="9">
        <v>30</v>
      </c>
      <c r="K79" s="22">
        <v>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 ht="15.75" customHeight="1">
      <c r="A80" s="6" t="s">
        <v>9</v>
      </c>
      <c r="B80" s="7" t="s">
        <v>26</v>
      </c>
      <c r="C80" s="7" t="s">
        <v>11</v>
      </c>
      <c r="D80" s="8" t="s">
        <v>22</v>
      </c>
      <c r="E80" s="8" t="s">
        <v>17</v>
      </c>
      <c r="F80" s="8" t="s">
        <v>14</v>
      </c>
      <c r="G80" s="7" t="s">
        <v>54</v>
      </c>
      <c r="H80" s="9">
        <f t="shared" si="0"/>
        <v>3.5</v>
      </c>
      <c r="I80" s="8" t="s">
        <v>85</v>
      </c>
      <c r="J80" s="9">
        <v>30</v>
      </c>
      <c r="K80" s="22" t="s">
        <v>84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 ht="15.75" customHeight="1">
      <c r="A81" s="6" t="s">
        <v>9</v>
      </c>
      <c r="B81" s="7" t="s">
        <v>26</v>
      </c>
      <c r="C81" s="7" t="s">
        <v>11</v>
      </c>
      <c r="D81" s="8" t="s">
        <v>22</v>
      </c>
      <c r="E81" s="8" t="s">
        <v>18</v>
      </c>
      <c r="F81" s="8" t="s">
        <v>14</v>
      </c>
      <c r="G81" s="7" t="s">
        <v>54</v>
      </c>
      <c r="H81" s="9">
        <f t="shared" si="0"/>
        <v>3.5</v>
      </c>
      <c r="I81" s="8" t="s">
        <v>85</v>
      </c>
      <c r="J81" s="9">
        <v>30</v>
      </c>
      <c r="K81" s="22">
        <v>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 ht="15.75" customHeight="1">
      <c r="A82" s="6" t="s">
        <v>9</v>
      </c>
      <c r="B82" s="7" t="s">
        <v>26</v>
      </c>
      <c r="C82" s="7" t="s">
        <v>11</v>
      </c>
      <c r="D82" s="8" t="s">
        <v>22</v>
      </c>
      <c r="E82" s="8" t="s">
        <v>19</v>
      </c>
      <c r="F82" s="8" t="s">
        <v>14</v>
      </c>
      <c r="G82" s="7" t="s">
        <v>54</v>
      </c>
      <c r="H82" s="9">
        <f t="shared" si="0"/>
        <v>3.5</v>
      </c>
      <c r="I82" s="8" t="s">
        <v>85</v>
      </c>
      <c r="J82" s="9">
        <v>30</v>
      </c>
      <c r="K82" s="22">
        <v>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 ht="15.75" customHeight="1">
      <c r="A83" s="6" t="s">
        <v>9</v>
      </c>
      <c r="B83" s="7" t="s">
        <v>26</v>
      </c>
      <c r="C83" s="7" t="s">
        <v>11</v>
      </c>
      <c r="D83" s="8" t="s">
        <v>22</v>
      </c>
      <c r="E83" s="8" t="s">
        <v>20</v>
      </c>
      <c r="F83" s="8" t="s">
        <v>14</v>
      </c>
      <c r="G83" s="7" t="s">
        <v>54</v>
      </c>
      <c r="H83" s="9">
        <f t="shared" si="0"/>
        <v>3.5</v>
      </c>
      <c r="I83" s="8" t="s">
        <v>85</v>
      </c>
      <c r="J83" s="9">
        <v>30</v>
      </c>
      <c r="K83" s="22">
        <v>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 ht="15.75" customHeight="1">
      <c r="A84" s="6" t="s">
        <v>9</v>
      </c>
      <c r="B84" s="7" t="s">
        <v>26</v>
      </c>
      <c r="C84" s="7" t="s">
        <v>11</v>
      </c>
      <c r="D84" s="8" t="s">
        <v>22</v>
      </c>
      <c r="E84" s="8" t="s">
        <v>21</v>
      </c>
      <c r="F84" s="8" t="s">
        <v>14</v>
      </c>
      <c r="G84" s="7" t="s">
        <v>54</v>
      </c>
      <c r="H84" s="9">
        <f t="shared" si="0"/>
        <v>3.5</v>
      </c>
      <c r="I84" s="8" t="s">
        <v>85</v>
      </c>
      <c r="J84" s="9">
        <v>30</v>
      </c>
      <c r="K84" s="22">
        <v>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 ht="15.75" customHeight="1">
      <c r="A85" s="6" t="s">
        <v>9</v>
      </c>
      <c r="B85" s="7" t="s">
        <v>26</v>
      </c>
      <c r="C85" s="7" t="s">
        <v>11</v>
      </c>
      <c r="D85" s="8" t="s">
        <v>22</v>
      </c>
      <c r="E85" s="8" t="s">
        <v>12</v>
      </c>
      <c r="F85" s="8" t="s">
        <v>14</v>
      </c>
      <c r="G85" s="7" t="s">
        <v>54</v>
      </c>
      <c r="H85" s="9">
        <f t="shared" si="0"/>
        <v>3.5</v>
      </c>
      <c r="I85" s="8" t="s">
        <v>85</v>
      </c>
      <c r="J85" s="9">
        <v>30</v>
      </c>
      <c r="K85" s="22">
        <v>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 ht="15.75" customHeight="1">
      <c r="A86" s="6" t="s">
        <v>9</v>
      </c>
      <c r="B86" s="7" t="s">
        <v>26</v>
      </c>
      <c r="C86" s="7" t="s">
        <v>11</v>
      </c>
      <c r="D86" s="8" t="s">
        <v>22</v>
      </c>
      <c r="E86" s="8" t="s">
        <v>22</v>
      </c>
      <c r="F86" s="8" t="s">
        <v>14</v>
      </c>
      <c r="G86" s="7" t="s">
        <v>54</v>
      </c>
      <c r="H86" s="9">
        <f t="shared" si="0"/>
        <v>3.5</v>
      </c>
      <c r="I86" s="8" t="s">
        <v>85</v>
      </c>
      <c r="J86" s="9">
        <v>30</v>
      </c>
      <c r="K86" s="22">
        <v>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 ht="15.75" customHeight="1">
      <c r="A87" s="6" t="s">
        <v>9</v>
      </c>
      <c r="B87" s="7" t="s">
        <v>26</v>
      </c>
      <c r="C87" s="7" t="s">
        <v>11</v>
      </c>
      <c r="D87" s="8" t="s">
        <v>22</v>
      </c>
      <c r="E87" s="8" t="s">
        <v>23</v>
      </c>
      <c r="F87" s="8" t="s">
        <v>14</v>
      </c>
      <c r="G87" s="7" t="s">
        <v>54</v>
      </c>
      <c r="H87" s="9">
        <f t="shared" si="0"/>
        <v>3.5</v>
      </c>
      <c r="I87" s="8" t="s">
        <v>85</v>
      </c>
      <c r="J87" s="9">
        <v>30</v>
      </c>
      <c r="K87" s="22">
        <v>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 ht="15.75" customHeight="1">
      <c r="A88" s="6" t="s">
        <v>9</v>
      </c>
      <c r="B88" s="7" t="s">
        <v>26</v>
      </c>
      <c r="C88" s="7" t="s">
        <v>11</v>
      </c>
      <c r="D88" s="8" t="s">
        <v>22</v>
      </c>
      <c r="E88" s="8" t="s">
        <v>24</v>
      </c>
      <c r="F88" s="8" t="s">
        <v>14</v>
      </c>
      <c r="G88" s="7" t="s">
        <v>54</v>
      </c>
      <c r="H88" s="9">
        <f t="shared" si="0"/>
        <v>3.5</v>
      </c>
      <c r="I88" s="8" t="s">
        <v>85</v>
      </c>
      <c r="J88" s="9">
        <v>30</v>
      </c>
      <c r="K88" s="22">
        <v>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 ht="15.75" customHeight="1">
      <c r="A89" s="6" t="s">
        <v>9</v>
      </c>
      <c r="B89" s="7" t="s">
        <v>26</v>
      </c>
      <c r="C89" s="7" t="s">
        <v>11</v>
      </c>
      <c r="D89" s="8" t="s">
        <v>22</v>
      </c>
      <c r="E89" s="8" t="s">
        <v>25</v>
      </c>
      <c r="F89" s="8" t="s">
        <v>14</v>
      </c>
      <c r="G89" s="7" t="s">
        <v>54</v>
      </c>
      <c r="H89" s="9">
        <f t="shared" si="0"/>
        <v>3.5</v>
      </c>
      <c r="I89" s="8" t="s">
        <v>85</v>
      </c>
      <c r="J89" s="9">
        <v>30</v>
      </c>
      <c r="K89" s="22">
        <v>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 ht="15.75" customHeight="1">
      <c r="A90" s="6" t="s">
        <v>9</v>
      </c>
      <c r="B90" s="11" t="s">
        <v>27</v>
      </c>
      <c r="C90" s="11" t="s">
        <v>28</v>
      </c>
      <c r="D90" s="8" t="s">
        <v>12</v>
      </c>
      <c r="E90" s="8" t="s">
        <v>19</v>
      </c>
      <c r="F90" s="8" t="s">
        <v>14</v>
      </c>
      <c r="G90" s="7" t="s">
        <v>54</v>
      </c>
      <c r="H90" s="9">
        <f t="shared" si="0"/>
        <v>3.5</v>
      </c>
      <c r="I90" s="8" t="s">
        <v>85</v>
      </c>
      <c r="J90" s="9">
        <v>30</v>
      </c>
      <c r="K90" s="22">
        <v>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 ht="15.75" customHeight="1">
      <c r="A91" s="6" t="s">
        <v>9</v>
      </c>
      <c r="B91" s="11" t="s">
        <v>27</v>
      </c>
      <c r="C91" s="11" t="s">
        <v>28</v>
      </c>
      <c r="D91" s="8" t="s">
        <v>12</v>
      </c>
      <c r="E91" s="8" t="s">
        <v>20</v>
      </c>
      <c r="F91" s="8" t="s">
        <v>14</v>
      </c>
      <c r="G91" s="7" t="s">
        <v>54</v>
      </c>
      <c r="H91" s="9">
        <f t="shared" si="0"/>
        <v>3.5</v>
      </c>
      <c r="I91" s="8" t="s">
        <v>85</v>
      </c>
      <c r="J91" s="9">
        <v>30</v>
      </c>
      <c r="K91" s="22">
        <v>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 ht="15.75" customHeight="1">
      <c r="A92" s="6" t="s">
        <v>9</v>
      </c>
      <c r="B92" s="11" t="s">
        <v>27</v>
      </c>
      <c r="C92" s="11" t="s">
        <v>28</v>
      </c>
      <c r="D92" s="8" t="s">
        <v>12</v>
      </c>
      <c r="E92" s="8" t="s">
        <v>21</v>
      </c>
      <c r="F92" s="8" t="s">
        <v>14</v>
      </c>
      <c r="G92" s="7" t="s">
        <v>54</v>
      </c>
      <c r="H92" s="9">
        <f t="shared" si="0"/>
        <v>3.5</v>
      </c>
      <c r="I92" s="8" t="s">
        <v>85</v>
      </c>
      <c r="J92" s="9">
        <v>30</v>
      </c>
      <c r="K92" s="22">
        <v>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 ht="15.75" customHeight="1">
      <c r="A93" s="6" t="s">
        <v>9</v>
      </c>
      <c r="B93" s="11" t="s">
        <v>27</v>
      </c>
      <c r="C93" s="11" t="s">
        <v>28</v>
      </c>
      <c r="D93" s="8" t="s">
        <v>12</v>
      </c>
      <c r="E93" s="8" t="s">
        <v>12</v>
      </c>
      <c r="F93" s="8" t="s">
        <v>14</v>
      </c>
      <c r="G93" s="7" t="s">
        <v>54</v>
      </c>
      <c r="H93" s="9">
        <f t="shared" si="0"/>
        <v>3.5</v>
      </c>
      <c r="I93" s="8" t="s">
        <v>85</v>
      </c>
      <c r="J93" s="9">
        <v>30</v>
      </c>
      <c r="K93" s="22">
        <v>2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 ht="15.75" customHeight="1">
      <c r="A94" s="6" t="s">
        <v>9</v>
      </c>
      <c r="B94" s="11" t="s">
        <v>27</v>
      </c>
      <c r="C94" s="11" t="s">
        <v>28</v>
      </c>
      <c r="D94" s="8" t="s">
        <v>12</v>
      </c>
      <c r="E94" s="8" t="s">
        <v>22</v>
      </c>
      <c r="F94" s="8" t="s">
        <v>14</v>
      </c>
      <c r="G94" s="7" t="s">
        <v>54</v>
      </c>
      <c r="H94" s="9">
        <f t="shared" si="0"/>
        <v>3.5</v>
      </c>
      <c r="I94" s="8" t="s">
        <v>85</v>
      </c>
      <c r="J94" s="9">
        <v>30</v>
      </c>
      <c r="K94" s="22">
        <v>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 ht="15.75" customHeight="1">
      <c r="A95" s="6" t="s">
        <v>9</v>
      </c>
      <c r="B95" s="11" t="s">
        <v>27</v>
      </c>
      <c r="C95" s="11" t="s">
        <v>28</v>
      </c>
      <c r="D95" s="8" t="s">
        <v>12</v>
      </c>
      <c r="E95" s="8" t="s">
        <v>23</v>
      </c>
      <c r="F95" s="8" t="s">
        <v>14</v>
      </c>
      <c r="G95" s="7" t="s">
        <v>54</v>
      </c>
      <c r="H95" s="9">
        <f t="shared" si="0"/>
        <v>3.5</v>
      </c>
      <c r="I95" s="8" t="s">
        <v>85</v>
      </c>
      <c r="J95" s="9">
        <v>30</v>
      </c>
      <c r="K95" s="22">
        <v>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 ht="15.75" customHeight="1">
      <c r="A96" s="6" t="s">
        <v>9</v>
      </c>
      <c r="B96" s="11" t="s">
        <v>27</v>
      </c>
      <c r="C96" s="11" t="s">
        <v>28</v>
      </c>
      <c r="D96" s="8" t="s">
        <v>12</v>
      </c>
      <c r="E96" s="8" t="s">
        <v>24</v>
      </c>
      <c r="F96" s="8" t="s">
        <v>14</v>
      </c>
      <c r="G96" s="7" t="s">
        <v>54</v>
      </c>
      <c r="H96" s="9">
        <f t="shared" si="0"/>
        <v>3.5</v>
      </c>
      <c r="I96" s="8" t="s">
        <v>85</v>
      </c>
      <c r="J96" s="9">
        <v>30</v>
      </c>
      <c r="K96" s="22">
        <v>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 ht="15.75" customHeight="1">
      <c r="A97" s="6" t="s">
        <v>9</v>
      </c>
      <c r="B97" s="11" t="s">
        <v>27</v>
      </c>
      <c r="C97" s="11" t="s">
        <v>28</v>
      </c>
      <c r="D97" s="8" t="s">
        <v>12</v>
      </c>
      <c r="E97" s="8" t="s">
        <v>25</v>
      </c>
      <c r="F97" s="8" t="s">
        <v>14</v>
      </c>
      <c r="G97" s="7" t="s">
        <v>54</v>
      </c>
      <c r="H97" s="14">
        <f t="shared" si="0"/>
        <v>3.5</v>
      </c>
      <c r="I97" s="8" t="s">
        <v>85</v>
      </c>
      <c r="J97" s="9">
        <v>30</v>
      </c>
      <c r="K97" s="22">
        <v>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 ht="15.75" customHeight="1">
      <c r="A98" s="6" t="s">
        <v>9</v>
      </c>
      <c r="B98" s="11" t="s">
        <v>29</v>
      </c>
      <c r="C98" s="11" t="s">
        <v>28</v>
      </c>
      <c r="D98" s="8" t="s">
        <v>22</v>
      </c>
      <c r="E98" s="8" t="s">
        <v>19</v>
      </c>
      <c r="F98" s="8" t="s">
        <v>14</v>
      </c>
      <c r="G98" s="7" t="s">
        <v>54</v>
      </c>
      <c r="H98" s="14">
        <f t="shared" si="0"/>
        <v>3.5</v>
      </c>
      <c r="I98" s="8" t="s">
        <v>85</v>
      </c>
      <c r="J98" s="9">
        <v>30</v>
      </c>
      <c r="K98" s="22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 ht="15.75" customHeight="1">
      <c r="A99" s="6" t="s">
        <v>9</v>
      </c>
      <c r="B99" s="11" t="s">
        <v>29</v>
      </c>
      <c r="C99" s="11" t="s">
        <v>28</v>
      </c>
      <c r="D99" s="8" t="s">
        <v>22</v>
      </c>
      <c r="E99" s="8" t="s">
        <v>20</v>
      </c>
      <c r="F99" s="8" t="s">
        <v>14</v>
      </c>
      <c r="G99" s="7" t="s">
        <v>54</v>
      </c>
      <c r="H99" s="14">
        <f t="shared" si="0"/>
        <v>3.5</v>
      </c>
      <c r="I99" s="8" t="s">
        <v>85</v>
      </c>
      <c r="J99" s="9">
        <v>30</v>
      </c>
      <c r="K99" s="22">
        <v>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 ht="15.75" customHeight="1">
      <c r="A100" s="6" t="s">
        <v>9</v>
      </c>
      <c r="B100" s="11" t="s">
        <v>29</v>
      </c>
      <c r="C100" s="11" t="s">
        <v>28</v>
      </c>
      <c r="D100" s="8" t="s">
        <v>22</v>
      </c>
      <c r="E100" s="8" t="s">
        <v>21</v>
      </c>
      <c r="F100" s="8" t="s">
        <v>14</v>
      </c>
      <c r="G100" s="7" t="s">
        <v>54</v>
      </c>
      <c r="H100" s="14">
        <f t="shared" si="0"/>
        <v>3.5</v>
      </c>
      <c r="I100" s="8" t="s">
        <v>85</v>
      </c>
      <c r="J100" s="9">
        <v>30</v>
      </c>
      <c r="K100" s="22">
        <v>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 ht="15.75" customHeight="1">
      <c r="A101" s="6" t="s">
        <v>9</v>
      </c>
      <c r="B101" s="11" t="s">
        <v>29</v>
      </c>
      <c r="C101" s="11" t="s">
        <v>28</v>
      </c>
      <c r="D101" s="8" t="s">
        <v>22</v>
      </c>
      <c r="E101" s="8" t="s">
        <v>12</v>
      </c>
      <c r="F101" s="8" t="s">
        <v>14</v>
      </c>
      <c r="G101" s="7" t="s">
        <v>54</v>
      </c>
      <c r="H101" s="14">
        <f t="shared" si="0"/>
        <v>3.5</v>
      </c>
      <c r="I101" s="8" t="s">
        <v>85</v>
      </c>
      <c r="J101" s="9">
        <v>30</v>
      </c>
      <c r="K101" s="22">
        <v>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 ht="15.75" customHeight="1">
      <c r="A102" s="6" t="s">
        <v>9</v>
      </c>
      <c r="B102" s="11" t="s">
        <v>29</v>
      </c>
      <c r="C102" s="11" t="s">
        <v>28</v>
      </c>
      <c r="D102" s="8" t="s">
        <v>22</v>
      </c>
      <c r="E102" s="8" t="s">
        <v>22</v>
      </c>
      <c r="F102" s="8" t="s">
        <v>14</v>
      </c>
      <c r="G102" s="7" t="s">
        <v>54</v>
      </c>
      <c r="H102" s="14">
        <f t="shared" si="0"/>
        <v>3.5</v>
      </c>
      <c r="I102" s="8" t="s">
        <v>85</v>
      </c>
      <c r="J102" s="9">
        <v>30</v>
      </c>
      <c r="K102" s="22">
        <v>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 ht="15.75" customHeight="1">
      <c r="A103" s="6" t="s">
        <v>9</v>
      </c>
      <c r="B103" s="11" t="s">
        <v>29</v>
      </c>
      <c r="C103" s="11" t="s">
        <v>28</v>
      </c>
      <c r="D103" s="8" t="s">
        <v>22</v>
      </c>
      <c r="E103" s="8" t="s">
        <v>23</v>
      </c>
      <c r="F103" s="8" t="s">
        <v>14</v>
      </c>
      <c r="G103" s="7" t="s">
        <v>54</v>
      </c>
      <c r="H103" s="14">
        <f t="shared" si="0"/>
        <v>3.5</v>
      </c>
      <c r="I103" s="8" t="s">
        <v>85</v>
      </c>
      <c r="J103" s="9">
        <v>30</v>
      </c>
      <c r="K103" s="22">
        <v>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 ht="15.75" customHeight="1">
      <c r="A104" s="6" t="s">
        <v>9</v>
      </c>
      <c r="B104" s="11" t="s">
        <v>29</v>
      </c>
      <c r="C104" s="11" t="s">
        <v>28</v>
      </c>
      <c r="D104" s="8" t="s">
        <v>22</v>
      </c>
      <c r="E104" s="8" t="s">
        <v>24</v>
      </c>
      <c r="F104" s="8" t="s">
        <v>14</v>
      </c>
      <c r="G104" s="7" t="s">
        <v>54</v>
      </c>
      <c r="H104" s="14">
        <f t="shared" si="0"/>
        <v>3.5</v>
      </c>
      <c r="I104" s="8" t="s">
        <v>85</v>
      </c>
      <c r="J104" s="9">
        <v>30</v>
      </c>
      <c r="K104" s="22">
        <v>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 ht="15.75" customHeight="1">
      <c r="A105" s="6" t="s">
        <v>9</v>
      </c>
      <c r="B105" s="11" t="s">
        <v>29</v>
      </c>
      <c r="C105" s="11" t="s">
        <v>28</v>
      </c>
      <c r="D105" s="8" t="s">
        <v>22</v>
      </c>
      <c r="E105" s="8" t="s">
        <v>25</v>
      </c>
      <c r="F105" s="8" t="s">
        <v>14</v>
      </c>
      <c r="G105" s="7" t="s">
        <v>54</v>
      </c>
      <c r="H105" s="14">
        <f t="shared" si="0"/>
        <v>3.5</v>
      </c>
      <c r="I105" s="8" t="s">
        <v>85</v>
      </c>
      <c r="J105" s="9">
        <v>30</v>
      </c>
      <c r="K105" s="22">
        <v>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 ht="15.75" customHeight="1">
      <c r="A106" s="6" t="s">
        <v>9</v>
      </c>
      <c r="B106" s="11" t="s">
        <v>30</v>
      </c>
      <c r="C106" s="11" t="s">
        <v>31</v>
      </c>
      <c r="D106" s="8" t="s">
        <v>12</v>
      </c>
      <c r="E106" s="8" t="s">
        <v>32</v>
      </c>
      <c r="F106" s="8" t="s">
        <v>14</v>
      </c>
      <c r="G106" s="7" t="s">
        <v>54</v>
      </c>
      <c r="H106" s="14">
        <f t="shared" si="0"/>
        <v>3.5</v>
      </c>
      <c r="I106" s="8" t="s">
        <v>85</v>
      </c>
      <c r="J106" s="9">
        <v>30</v>
      </c>
      <c r="K106" s="22">
        <v>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 ht="15.75" customHeight="1">
      <c r="A107" s="6" t="s">
        <v>9</v>
      </c>
      <c r="B107" s="11" t="s">
        <v>30</v>
      </c>
      <c r="C107" s="11" t="s">
        <v>31</v>
      </c>
      <c r="D107" s="8" t="s">
        <v>22</v>
      </c>
      <c r="E107" s="8" t="s">
        <v>32</v>
      </c>
      <c r="F107" s="8" t="s">
        <v>14</v>
      </c>
      <c r="G107" s="7" t="s">
        <v>54</v>
      </c>
      <c r="H107" s="14">
        <f t="shared" si="0"/>
        <v>3.5</v>
      </c>
      <c r="I107" s="8" t="s">
        <v>85</v>
      </c>
      <c r="J107" s="9">
        <v>30</v>
      </c>
      <c r="K107" s="22">
        <v>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 ht="15.75" customHeight="1">
      <c r="A108" s="6" t="s">
        <v>9</v>
      </c>
      <c r="B108" s="7" t="s">
        <v>33</v>
      </c>
      <c r="C108" s="7" t="s">
        <v>34</v>
      </c>
      <c r="D108" s="8" t="s">
        <v>35</v>
      </c>
      <c r="E108" s="8" t="s">
        <v>18</v>
      </c>
      <c r="F108" s="8" t="s">
        <v>14</v>
      </c>
      <c r="G108" s="7" t="s">
        <v>54</v>
      </c>
      <c r="H108" s="14">
        <f t="shared" si="0"/>
        <v>3.5</v>
      </c>
      <c r="I108" s="8" t="s">
        <v>85</v>
      </c>
      <c r="J108" s="9">
        <v>30</v>
      </c>
      <c r="K108" s="22">
        <v>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 ht="15.75" customHeight="1">
      <c r="A109" s="6" t="s">
        <v>9</v>
      </c>
      <c r="B109" s="7" t="s">
        <v>36</v>
      </c>
      <c r="C109" s="7" t="s">
        <v>34</v>
      </c>
      <c r="D109" s="8" t="s">
        <v>37</v>
      </c>
      <c r="E109" s="8" t="s">
        <v>18</v>
      </c>
      <c r="F109" s="8" t="s">
        <v>14</v>
      </c>
      <c r="G109" s="7" t="s">
        <v>54</v>
      </c>
      <c r="H109" s="14">
        <f t="shared" si="0"/>
        <v>3.5</v>
      </c>
      <c r="I109" s="8" t="s">
        <v>85</v>
      </c>
      <c r="J109" s="9">
        <v>30</v>
      </c>
      <c r="K109" s="22">
        <v>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 ht="15.75" customHeight="1">
      <c r="A110" s="6" t="s">
        <v>9</v>
      </c>
      <c r="B110" s="7" t="s">
        <v>38</v>
      </c>
      <c r="C110" s="7" t="s">
        <v>34</v>
      </c>
      <c r="D110" s="8" t="s">
        <v>39</v>
      </c>
      <c r="E110" s="8" t="s">
        <v>18</v>
      </c>
      <c r="F110" s="8" t="s">
        <v>14</v>
      </c>
      <c r="G110" s="7" t="s">
        <v>54</v>
      </c>
      <c r="H110" s="14">
        <f t="shared" si="0"/>
        <v>3.5</v>
      </c>
      <c r="I110" s="8" t="s">
        <v>85</v>
      </c>
      <c r="J110" s="9">
        <v>30</v>
      </c>
      <c r="K110" s="22">
        <v>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 ht="15.75" customHeight="1">
      <c r="A111" s="6" t="s">
        <v>9</v>
      </c>
      <c r="B111" s="7" t="s">
        <v>33</v>
      </c>
      <c r="C111" s="7" t="s">
        <v>34</v>
      </c>
      <c r="D111" s="8" t="s">
        <v>35</v>
      </c>
      <c r="E111" s="8" t="s">
        <v>21</v>
      </c>
      <c r="F111" s="8" t="s">
        <v>14</v>
      </c>
      <c r="G111" s="7" t="s">
        <v>54</v>
      </c>
      <c r="H111" s="14">
        <f t="shared" si="0"/>
        <v>3.5</v>
      </c>
      <c r="I111" s="8" t="s">
        <v>85</v>
      </c>
      <c r="J111" s="9">
        <v>30</v>
      </c>
      <c r="K111" s="22">
        <v>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 ht="15.75" customHeight="1">
      <c r="A112" s="6" t="s">
        <v>9</v>
      </c>
      <c r="B112" s="7" t="s">
        <v>36</v>
      </c>
      <c r="C112" s="7" t="s">
        <v>34</v>
      </c>
      <c r="D112" s="8" t="s">
        <v>37</v>
      </c>
      <c r="E112" s="8" t="s">
        <v>21</v>
      </c>
      <c r="F112" s="8" t="s">
        <v>14</v>
      </c>
      <c r="G112" s="7" t="s">
        <v>54</v>
      </c>
      <c r="H112" s="14">
        <f t="shared" si="0"/>
        <v>3.5</v>
      </c>
      <c r="I112" s="8" t="s">
        <v>85</v>
      </c>
      <c r="J112" s="9">
        <v>30</v>
      </c>
      <c r="K112" s="22">
        <v>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5.75" customHeight="1">
      <c r="A113" s="6" t="s">
        <v>9</v>
      </c>
      <c r="B113" s="7" t="s">
        <v>38</v>
      </c>
      <c r="C113" s="7" t="s">
        <v>34</v>
      </c>
      <c r="D113" s="8" t="s">
        <v>39</v>
      </c>
      <c r="E113" s="8" t="s">
        <v>21</v>
      </c>
      <c r="F113" s="8" t="s">
        <v>14</v>
      </c>
      <c r="G113" s="7" t="s">
        <v>54</v>
      </c>
      <c r="H113" s="14">
        <f t="shared" si="0"/>
        <v>3.5</v>
      </c>
      <c r="I113" s="8" t="s">
        <v>85</v>
      </c>
      <c r="J113" s="9">
        <v>30</v>
      </c>
      <c r="K113" s="22">
        <v>2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 ht="15.75" customHeight="1">
      <c r="A114" s="6" t="s">
        <v>9</v>
      </c>
      <c r="B114" s="12" t="s">
        <v>42</v>
      </c>
      <c r="C114" s="12" t="s">
        <v>43</v>
      </c>
      <c r="D114" s="8" t="s">
        <v>12</v>
      </c>
      <c r="E114" s="8" t="s">
        <v>21</v>
      </c>
      <c r="F114" s="8" t="s">
        <v>14</v>
      </c>
      <c r="G114" s="7" t="s">
        <v>54</v>
      </c>
      <c r="H114" s="14">
        <f t="shared" si="0"/>
        <v>3.5</v>
      </c>
      <c r="I114" s="8" t="s">
        <v>85</v>
      </c>
      <c r="J114" s="9">
        <v>30</v>
      </c>
      <c r="K114" s="10">
        <v>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 ht="15.75" customHeight="1">
      <c r="A115" s="6" t="s">
        <v>9</v>
      </c>
      <c r="B115" s="12" t="s">
        <v>44</v>
      </c>
      <c r="C115" s="12" t="s">
        <v>43</v>
      </c>
      <c r="D115" s="8" t="s">
        <v>22</v>
      </c>
      <c r="E115" s="8" t="s">
        <v>21</v>
      </c>
      <c r="F115" s="8" t="s">
        <v>14</v>
      </c>
      <c r="G115" s="7" t="s">
        <v>54</v>
      </c>
      <c r="H115" s="14">
        <f t="shared" si="0"/>
        <v>3.5</v>
      </c>
      <c r="I115" s="8" t="s">
        <v>85</v>
      </c>
      <c r="J115" s="9">
        <v>30</v>
      </c>
      <c r="K115" s="10">
        <v>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 ht="15.75" customHeight="1">
      <c r="A116" s="6" t="s">
        <v>9</v>
      </c>
      <c r="B116" s="11" t="s">
        <v>45</v>
      </c>
      <c r="C116" s="11" t="s">
        <v>46</v>
      </c>
      <c r="D116" s="8" t="s">
        <v>35</v>
      </c>
      <c r="E116" s="8" t="s">
        <v>21</v>
      </c>
      <c r="F116" s="8" t="s">
        <v>14</v>
      </c>
      <c r="G116" s="7" t="s">
        <v>54</v>
      </c>
      <c r="H116" s="14">
        <f t="shared" si="0"/>
        <v>3.5</v>
      </c>
      <c r="I116" s="8" t="s">
        <v>85</v>
      </c>
      <c r="J116" s="9">
        <v>30</v>
      </c>
      <c r="K116" s="22">
        <v>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 ht="15.75" customHeight="1">
      <c r="A117" s="6" t="s">
        <v>9</v>
      </c>
      <c r="B117" s="11" t="s">
        <v>47</v>
      </c>
      <c r="C117" s="11" t="s">
        <v>46</v>
      </c>
      <c r="D117" s="8" t="s">
        <v>37</v>
      </c>
      <c r="E117" s="8" t="s">
        <v>21</v>
      </c>
      <c r="F117" s="8" t="s">
        <v>14</v>
      </c>
      <c r="G117" s="7" t="s">
        <v>54</v>
      </c>
      <c r="H117" s="14">
        <f t="shared" si="0"/>
        <v>3.5</v>
      </c>
      <c r="I117" s="8" t="s">
        <v>85</v>
      </c>
      <c r="J117" s="9">
        <v>30</v>
      </c>
      <c r="K117" s="10">
        <v>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 ht="15.75" customHeight="1">
      <c r="A118" s="6" t="s">
        <v>9</v>
      </c>
      <c r="B118" s="11" t="s">
        <v>48</v>
      </c>
      <c r="C118" s="11" t="s">
        <v>46</v>
      </c>
      <c r="D118" s="8" t="s">
        <v>39</v>
      </c>
      <c r="E118" s="8" t="s">
        <v>21</v>
      </c>
      <c r="F118" s="8" t="s">
        <v>14</v>
      </c>
      <c r="G118" s="7" t="s">
        <v>54</v>
      </c>
      <c r="H118" s="14">
        <f t="shared" si="0"/>
        <v>3.5</v>
      </c>
      <c r="I118" s="8" t="s">
        <v>85</v>
      </c>
      <c r="J118" s="9">
        <v>30</v>
      </c>
      <c r="K118" s="10">
        <v>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 ht="15.75" customHeight="1">
      <c r="A119" s="6" t="s">
        <v>9</v>
      </c>
      <c r="B119" s="15" t="s">
        <v>49</v>
      </c>
      <c r="C119" s="7" t="s">
        <v>50</v>
      </c>
      <c r="D119" s="16" t="s">
        <v>12</v>
      </c>
      <c r="E119" s="16" t="s">
        <v>16</v>
      </c>
      <c r="F119" s="17" t="s">
        <v>51</v>
      </c>
      <c r="G119" s="7" t="s">
        <v>54</v>
      </c>
      <c r="H119" s="14">
        <f t="shared" si="0"/>
        <v>3.5</v>
      </c>
      <c r="I119" s="8" t="s">
        <v>85</v>
      </c>
      <c r="J119" s="18">
        <v>30</v>
      </c>
      <c r="K119" s="19">
        <v>1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ht="15.75" customHeight="1">
      <c r="A120" s="6" t="s">
        <v>9</v>
      </c>
      <c r="B120" s="15" t="s">
        <v>49</v>
      </c>
      <c r="C120" s="7" t="s">
        <v>50</v>
      </c>
      <c r="D120" s="16" t="s">
        <v>12</v>
      </c>
      <c r="E120" s="16" t="s">
        <v>19</v>
      </c>
      <c r="F120" s="17" t="s">
        <v>51</v>
      </c>
      <c r="G120" s="7" t="s">
        <v>54</v>
      </c>
      <c r="H120" s="14">
        <f t="shared" si="0"/>
        <v>3.5</v>
      </c>
      <c r="I120" s="8" t="s">
        <v>85</v>
      </c>
      <c r="J120" s="18">
        <v>30</v>
      </c>
      <c r="K120" s="19">
        <v>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ht="15.75" customHeight="1">
      <c r="A121" s="6" t="s">
        <v>9</v>
      </c>
      <c r="B121" s="15" t="s">
        <v>49</v>
      </c>
      <c r="C121" s="7" t="s">
        <v>50</v>
      </c>
      <c r="D121" s="16" t="s">
        <v>12</v>
      </c>
      <c r="E121" s="16" t="s">
        <v>21</v>
      </c>
      <c r="F121" s="17" t="s">
        <v>51</v>
      </c>
      <c r="G121" s="7" t="s">
        <v>54</v>
      </c>
      <c r="H121" s="14">
        <f t="shared" si="0"/>
        <v>3.5</v>
      </c>
      <c r="I121" s="8" t="s">
        <v>85</v>
      </c>
      <c r="J121" s="18">
        <v>30</v>
      </c>
      <c r="K121" s="19">
        <v>1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ht="15.75" customHeight="1">
      <c r="A122" s="6" t="s">
        <v>9</v>
      </c>
      <c r="B122" s="15" t="s">
        <v>52</v>
      </c>
      <c r="C122" s="7" t="s">
        <v>50</v>
      </c>
      <c r="D122" s="16" t="s">
        <v>22</v>
      </c>
      <c r="E122" s="16" t="s">
        <v>16</v>
      </c>
      <c r="F122" s="17" t="s">
        <v>51</v>
      </c>
      <c r="G122" s="7" t="s">
        <v>54</v>
      </c>
      <c r="H122" s="14">
        <f t="shared" si="0"/>
        <v>3.5</v>
      </c>
      <c r="I122" s="8" t="s">
        <v>85</v>
      </c>
      <c r="J122" s="18">
        <v>30</v>
      </c>
      <c r="K122" s="19">
        <v>1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ht="15.75" customHeight="1">
      <c r="A123" s="6" t="s">
        <v>9</v>
      </c>
      <c r="B123" s="15" t="s">
        <v>52</v>
      </c>
      <c r="C123" s="7" t="s">
        <v>50</v>
      </c>
      <c r="D123" s="16" t="s">
        <v>22</v>
      </c>
      <c r="E123" s="16" t="s">
        <v>19</v>
      </c>
      <c r="F123" s="17" t="s">
        <v>51</v>
      </c>
      <c r="G123" s="7" t="s">
        <v>54</v>
      </c>
      <c r="H123" s="14">
        <f t="shared" si="0"/>
        <v>3.5</v>
      </c>
      <c r="I123" s="8" t="s">
        <v>85</v>
      </c>
      <c r="J123" s="18">
        <v>30</v>
      </c>
      <c r="K123" s="19">
        <v>1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ht="15.75" customHeight="1">
      <c r="A124" s="6" t="s">
        <v>9</v>
      </c>
      <c r="B124" s="15" t="s">
        <v>52</v>
      </c>
      <c r="C124" s="7" t="s">
        <v>50</v>
      </c>
      <c r="D124" s="16" t="s">
        <v>22</v>
      </c>
      <c r="E124" s="16" t="s">
        <v>21</v>
      </c>
      <c r="F124" s="17" t="s">
        <v>51</v>
      </c>
      <c r="G124" s="7" t="s">
        <v>54</v>
      </c>
      <c r="H124" s="14">
        <f t="shared" si="0"/>
        <v>3.5</v>
      </c>
      <c r="I124" s="8" t="s">
        <v>85</v>
      </c>
      <c r="J124" s="18">
        <v>30</v>
      </c>
      <c r="K124" s="19">
        <v>1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ht="15.75" customHeight="1">
      <c r="A125" s="6" t="s">
        <v>9</v>
      </c>
      <c r="B125" s="15" t="s">
        <v>53</v>
      </c>
      <c r="C125" s="7" t="s">
        <v>50</v>
      </c>
      <c r="D125" s="16" t="s">
        <v>23</v>
      </c>
      <c r="E125" s="16" t="s">
        <v>16</v>
      </c>
      <c r="F125" s="17" t="s">
        <v>51</v>
      </c>
      <c r="G125" s="7" t="s">
        <v>54</v>
      </c>
      <c r="H125" s="14">
        <f t="shared" si="0"/>
        <v>3.5</v>
      </c>
      <c r="I125" s="8" t="s">
        <v>85</v>
      </c>
      <c r="J125" s="18">
        <v>30</v>
      </c>
      <c r="K125" s="19">
        <v>1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ht="15.75" customHeight="1">
      <c r="A126" s="6" t="s">
        <v>9</v>
      </c>
      <c r="B126" s="15" t="s">
        <v>53</v>
      </c>
      <c r="C126" s="7" t="s">
        <v>50</v>
      </c>
      <c r="D126" s="16" t="s">
        <v>23</v>
      </c>
      <c r="E126" s="16" t="s">
        <v>19</v>
      </c>
      <c r="F126" s="17" t="s">
        <v>51</v>
      </c>
      <c r="G126" s="7" t="s">
        <v>54</v>
      </c>
      <c r="H126" s="14">
        <f t="shared" si="0"/>
        <v>3.5</v>
      </c>
      <c r="I126" s="8" t="s">
        <v>85</v>
      </c>
      <c r="J126" s="18">
        <v>30</v>
      </c>
      <c r="K126" s="19">
        <v>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 ht="15.75" customHeight="1">
      <c r="A127" s="6" t="s">
        <v>9</v>
      </c>
      <c r="B127" s="15" t="s">
        <v>53</v>
      </c>
      <c r="C127" s="7" t="s">
        <v>50</v>
      </c>
      <c r="D127" s="16" t="s">
        <v>23</v>
      </c>
      <c r="E127" s="16" t="s">
        <v>21</v>
      </c>
      <c r="F127" s="17" t="s">
        <v>51</v>
      </c>
      <c r="G127" s="7" t="s">
        <v>54</v>
      </c>
      <c r="H127" s="14">
        <f t="shared" si="0"/>
        <v>3.5</v>
      </c>
      <c r="I127" s="8" t="s">
        <v>85</v>
      </c>
      <c r="J127" s="18">
        <v>30</v>
      </c>
      <c r="K127" s="19">
        <v>1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 ht="15.75" customHeight="1">
      <c r="A128" s="24" t="s">
        <v>55</v>
      </c>
      <c r="B128" s="15" t="s">
        <v>82</v>
      </c>
      <c r="C128" s="7" t="s">
        <v>82</v>
      </c>
      <c r="F128" s="22"/>
      <c r="H128" s="9">
        <f t="shared" ref="H128:H131" si="7">I128*((100-J128)/100)</f>
        <v>4.99</v>
      </c>
      <c r="I128" s="8" t="s">
        <v>85</v>
      </c>
      <c r="J128" s="23">
        <v>0.2</v>
      </c>
      <c r="K128" s="19"/>
    </row>
    <row r="129" spans="1:12" ht="15.75" customHeight="1">
      <c r="A129" s="24" t="s">
        <v>55</v>
      </c>
      <c r="B129" s="15" t="s">
        <v>80</v>
      </c>
      <c r="C129" s="7" t="s">
        <v>80</v>
      </c>
      <c r="F129" s="22"/>
      <c r="H129" s="9">
        <v>1</v>
      </c>
      <c r="I129" s="8" t="s">
        <v>85</v>
      </c>
      <c r="J129" s="23">
        <v>0.2</v>
      </c>
    </row>
    <row r="130" spans="1:12" ht="15.75" customHeight="1">
      <c r="A130" s="24" t="s">
        <v>55</v>
      </c>
      <c r="B130" s="15" t="s">
        <v>81</v>
      </c>
      <c r="C130" s="7" t="s">
        <v>81</v>
      </c>
      <c r="F130" s="22"/>
      <c r="H130" s="9">
        <v>1</v>
      </c>
      <c r="I130" s="8" t="s">
        <v>85</v>
      </c>
      <c r="J130" s="23"/>
      <c r="L130" s="25"/>
    </row>
    <row r="131" spans="1:12" ht="15.75" customHeight="1">
      <c r="A131" s="24" t="s">
        <v>55</v>
      </c>
      <c r="B131" s="15" t="s">
        <v>79</v>
      </c>
      <c r="C131" s="7" t="s">
        <v>79</v>
      </c>
      <c r="F131" s="20"/>
      <c r="H131" s="9">
        <f t="shared" si="7"/>
        <v>4.99</v>
      </c>
      <c r="I131" s="8" t="s">
        <v>85</v>
      </c>
      <c r="J131" s="23">
        <v>0.2</v>
      </c>
    </row>
    <row r="132" spans="1:12" ht="15.75" customHeight="1">
      <c r="A132" s="6" t="s">
        <v>56</v>
      </c>
      <c r="B132" s="21" t="s">
        <v>59</v>
      </c>
      <c r="C132" s="21" t="s">
        <v>57</v>
      </c>
      <c r="D132" s="20">
        <v>698</v>
      </c>
      <c r="E132" s="20">
        <v>147</v>
      </c>
      <c r="F132" s="20"/>
      <c r="G132" s="21" t="s">
        <v>58</v>
      </c>
      <c r="H132" s="9">
        <f t="shared" ref="H132:H146" si="8">I132*((100-J132)/100)</f>
        <v>3.5</v>
      </c>
      <c r="I132" s="8" t="s">
        <v>85</v>
      </c>
      <c r="J132" s="20">
        <v>30</v>
      </c>
    </row>
    <row r="133" spans="1:12" ht="15.75" customHeight="1">
      <c r="A133" s="6" t="s">
        <v>56</v>
      </c>
      <c r="B133" s="21" t="s">
        <v>60</v>
      </c>
      <c r="C133" s="21" t="s">
        <v>57</v>
      </c>
      <c r="D133" s="20">
        <v>698</v>
      </c>
      <c r="E133" s="20">
        <v>297</v>
      </c>
      <c r="F133" s="20"/>
      <c r="G133" s="21" t="s">
        <v>58</v>
      </c>
      <c r="H133" s="9">
        <f t="shared" si="8"/>
        <v>3.5</v>
      </c>
      <c r="I133" s="8" t="s">
        <v>85</v>
      </c>
      <c r="J133" s="20">
        <v>30</v>
      </c>
    </row>
    <row r="134" spans="1:12" ht="15.75" customHeight="1">
      <c r="A134" s="6" t="s">
        <v>56</v>
      </c>
      <c r="B134" s="21" t="s">
        <v>61</v>
      </c>
      <c r="C134" s="21" t="s">
        <v>57</v>
      </c>
      <c r="D134" s="20">
        <v>698</v>
      </c>
      <c r="E134" s="20">
        <v>347</v>
      </c>
      <c r="F134" s="20"/>
      <c r="G134" s="21" t="s">
        <v>58</v>
      </c>
      <c r="H134" s="9">
        <f t="shared" si="8"/>
        <v>3.5</v>
      </c>
      <c r="I134" s="8" t="s">
        <v>85</v>
      </c>
      <c r="J134" s="20">
        <v>30</v>
      </c>
    </row>
    <row r="135" spans="1:12" ht="15.75" customHeight="1">
      <c r="A135" s="6" t="s">
        <v>56</v>
      </c>
      <c r="B135" s="21" t="s">
        <v>62</v>
      </c>
      <c r="C135" s="21" t="s">
        <v>57</v>
      </c>
      <c r="D135" s="20">
        <v>698</v>
      </c>
      <c r="E135" s="20">
        <v>397</v>
      </c>
      <c r="F135" s="20"/>
      <c r="G135" s="21" t="s">
        <v>58</v>
      </c>
      <c r="H135" s="9">
        <f t="shared" si="8"/>
        <v>3.5</v>
      </c>
      <c r="I135" s="8" t="s">
        <v>85</v>
      </c>
      <c r="J135" s="20">
        <v>30</v>
      </c>
    </row>
    <row r="136" spans="1:12" ht="15.75" customHeight="1">
      <c r="A136" s="6" t="s">
        <v>56</v>
      </c>
      <c r="B136" s="21" t="s">
        <v>63</v>
      </c>
      <c r="C136" s="21" t="s">
        <v>57</v>
      </c>
      <c r="D136" s="20">
        <v>698</v>
      </c>
      <c r="E136" s="20">
        <v>447</v>
      </c>
      <c r="F136" s="20"/>
      <c r="G136" s="21" t="s">
        <v>58</v>
      </c>
      <c r="H136" s="9">
        <f t="shared" si="8"/>
        <v>3.5</v>
      </c>
      <c r="I136" s="8" t="s">
        <v>85</v>
      </c>
      <c r="J136" s="20">
        <v>30</v>
      </c>
    </row>
    <row r="137" spans="1:12" ht="15.75" customHeight="1">
      <c r="A137" s="6" t="s">
        <v>56</v>
      </c>
      <c r="B137" s="21" t="s">
        <v>64</v>
      </c>
      <c r="C137" s="21" t="s">
        <v>57</v>
      </c>
      <c r="D137" s="20">
        <v>698</v>
      </c>
      <c r="E137" s="20">
        <v>497</v>
      </c>
      <c r="F137" s="20"/>
      <c r="G137" s="21" t="s">
        <v>58</v>
      </c>
      <c r="H137" s="9">
        <f t="shared" si="8"/>
        <v>3.5</v>
      </c>
      <c r="I137" s="8" t="s">
        <v>85</v>
      </c>
      <c r="J137" s="20">
        <v>30</v>
      </c>
    </row>
    <row r="138" spans="1:12" ht="15.75" customHeight="1">
      <c r="A138" s="6" t="s">
        <v>56</v>
      </c>
      <c r="B138" s="21" t="s">
        <v>65</v>
      </c>
      <c r="C138" s="21" t="s">
        <v>57</v>
      </c>
      <c r="D138" s="20">
        <v>698</v>
      </c>
      <c r="E138" s="20">
        <v>597</v>
      </c>
      <c r="F138" s="20"/>
      <c r="G138" s="21" t="s">
        <v>58</v>
      </c>
      <c r="H138" s="9">
        <f t="shared" si="8"/>
        <v>3.5</v>
      </c>
      <c r="I138" s="8" t="s">
        <v>85</v>
      </c>
      <c r="J138" s="20">
        <v>30</v>
      </c>
    </row>
    <row r="139" spans="1:12" ht="15.75" customHeight="1">
      <c r="A139" s="6" t="s">
        <v>56</v>
      </c>
      <c r="B139" s="21" t="s">
        <v>66</v>
      </c>
      <c r="C139" s="21" t="s">
        <v>57</v>
      </c>
      <c r="D139" s="20">
        <v>798</v>
      </c>
      <c r="E139" s="20">
        <v>147</v>
      </c>
      <c r="F139" s="20"/>
      <c r="G139" s="21" t="s">
        <v>58</v>
      </c>
      <c r="H139" s="9">
        <f t="shared" si="8"/>
        <v>3.5</v>
      </c>
      <c r="I139" s="8" t="s">
        <v>85</v>
      </c>
      <c r="J139" s="20">
        <v>30</v>
      </c>
    </row>
    <row r="140" spans="1:12" ht="15.75" customHeight="1">
      <c r="A140" s="6" t="s">
        <v>56</v>
      </c>
      <c r="B140" s="21" t="s">
        <v>67</v>
      </c>
      <c r="C140" s="21" t="s">
        <v>57</v>
      </c>
      <c r="D140" s="20">
        <v>798</v>
      </c>
      <c r="E140" s="20">
        <v>297</v>
      </c>
      <c r="F140" s="20"/>
      <c r="G140" s="21" t="s">
        <v>58</v>
      </c>
      <c r="H140" s="9">
        <f t="shared" si="8"/>
        <v>3.5</v>
      </c>
      <c r="I140" s="8" t="s">
        <v>85</v>
      </c>
      <c r="J140" s="20">
        <v>30</v>
      </c>
    </row>
    <row r="141" spans="1:12" ht="15.75" customHeight="1">
      <c r="A141" s="6" t="s">
        <v>56</v>
      </c>
      <c r="B141" s="21" t="s">
        <v>68</v>
      </c>
      <c r="C141" s="21" t="s">
        <v>57</v>
      </c>
      <c r="D141" s="20">
        <v>798</v>
      </c>
      <c r="E141" s="20">
        <v>347</v>
      </c>
      <c r="F141" s="20"/>
      <c r="G141" s="21" t="s">
        <v>58</v>
      </c>
      <c r="H141" s="9">
        <f t="shared" si="8"/>
        <v>3.5</v>
      </c>
      <c r="I141" s="8" t="s">
        <v>85</v>
      </c>
      <c r="J141" s="20">
        <v>30</v>
      </c>
    </row>
    <row r="142" spans="1:12" ht="15.75" customHeight="1">
      <c r="A142" s="6" t="s">
        <v>56</v>
      </c>
      <c r="B142" s="21" t="s">
        <v>69</v>
      </c>
      <c r="C142" s="21" t="s">
        <v>57</v>
      </c>
      <c r="D142" s="20">
        <v>798</v>
      </c>
      <c r="E142" s="20">
        <v>397</v>
      </c>
      <c r="F142" s="20"/>
      <c r="G142" s="21" t="s">
        <v>58</v>
      </c>
      <c r="H142" s="9">
        <f t="shared" si="8"/>
        <v>3.5</v>
      </c>
      <c r="I142" s="8" t="s">
        <v>85</v>
      </c>
      <c r="J142" s="20">
        <v>30</v>
      </c>
    </row>
    <row r="143" spans="1:12" ht="15.75" customHeight="1">
      <c r="A143" s="6" t="s">
        <v>56</v>
      </c>
      <c r="B143" s="21" t="s">
        <v>70</v>
      </c>
      <c r="C143" s="21" t="s">
        <v>57</v>
      </c>
      <c r="D143" s="20">
        <v>798</v>
      </c>
      <c r="E143" s="20">
        <v>447</v>
      </c>
      <c r="F143" s="20"/>
      <c r="G143" s="21" t="s">
        <v>58</v>
      </c>
      <c r="H143" s="9">
        <f t="shared" si="8"/>
        <v>3.5</v>
      </c>
      <c r="I143" s="8" t="s">
        <v>85</v>
      </c>
      <c r="J143" s="20">
        <v>30</v>
      </c>
    </row>
    <row r="144" spans="1:12" ht="15.75" customHeight="1">
      <c r="A144" s="6" t="s">
        <v>56</v>
      </c>
      <c r="B144" s="21" t="s">
        <v>71</v>
      </c>
      <c r="C144" s="21" t="s">
        <v>57</v>
      </c>
      <c r="D144" s="20">
        <v>798</v>
      </c>
      <c r="E144" s="20">
        <v>497</v>
      </c>
      <c r="F144" s="20"/>
      <c r="G144" s="21" t="s">
        <v>58</v>
      </c>
      <c r="H144" s="9">
        <f t="shared" si="8"/>
        <v>3.5</v>
      </c>
      <c r="I144" s="8" t="s">
        <v>85</v>
      </c>
      <c r="J144" s="20">
        <v>30</v>
      </c>
    </row>
    <row r="145" spans="1:21" ht="15.75" customHeight="1">
      <c r="A145" s="6" t="s">
        <v>56</v>
      </c>
      <c r="B145" s="21" t="s">
        <v>72</v>
      </c>
      <c r="C145" s="21" t="s">
        <v>57</v>
      </c>
      <c r="D145" s="20">
        <v>798</v>
      </c>
      <c r="E145" s="20">
        <v>597</v>
      </c>
      <c r="F145" s="20"/>
      <c r="G145" s="21" t="s">
        <v>58</v>
      </c>
      <c r="H145" s="9">
        <f t="shared" si="8"/>
        <v>3.5</v>
      </c>
      <c r="I145" s="8" t="s">
        <v>85</v>
      </c>
      <c r="J145" s="20">
        <v>30</v>
      </c>
    </row>
    <row r="146" spans="1:21" ht="15.75" customHeight="1">
      <c r="A146" s="6" t="s">
        <v>56</v>
      </c>
      <c r="B146" s="21" t="s">
        <v>78</v>
      </c>
      <c r="C146" s="21" t="s">
        <v>57</v>
      </c>
      <c r="D146" s="20">
        <v>1098</v>
      </c>
      <c r="E146" s="20">
        <v>397</v>
      </c>
      <c r="F146" s="20"/>
      <c r="G146" s="21" t="s">
        <v>58</v>
      </c>
      <c r="H146" s="9">
        <f t="shared" si="8"/>
        <v>3.5</v>
      </c>
      <c r="I146" s="8" t="s">
        <v>85</v>
      </c>
      <c r="J146" s="20">
        <v>30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 ht="15.75" customHeight="1">
      <c r="A147" s="6" t="s">
        <v>56</v>
      </c>
      <c r="B147" s="21" t="s">
        <v>73</v>
      </c>
      <c r="C147" s="21" t="s">
        <v>57</v>
      </c>
      <c r="D147" s="22">
        <v>1098</v>
      </c>
      <c r="E147" s="22">
        <v>597</v>
      </c>
      <c r="F147" s="22"/>
      <c r="G147" s="21" t="s">
        <v>58</v>
      </c>
      <c r="H147" s="9">
        <f t="shared" ref="H147" si="9">I147*((100-J147)/100)</f>
        <v>3.5</v>
      </c>
      <c r="I147" s="8" t="s">
        <v>85</v>
      </c>
      <c r="J147" s="22">
        <v>30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</row>
    <row r="148" spans="1:21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:21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:21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:21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:21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:21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:21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:21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:21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:21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:2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:21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:21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:21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:21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:21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:21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:21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:21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:21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: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:21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:21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:21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:21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:21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:21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:21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:21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:21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:2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1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:21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:21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:21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:21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:21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:21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:21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:21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:2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:21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:21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:21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:21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:21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:21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:21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:21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:2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:21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:21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:21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:21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:21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1:21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spans="1:21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spans="1:21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spans="1:2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spans="1:21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spans="1:21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spans="1:21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spans="1:21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spans="1:21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spans="1:21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spans="1:21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spans="1:21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spans="1:21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spans="1:2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spans="1:21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spans="1:21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spans="1:21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spans="1:21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spans="1:21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spans="1:21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1:21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spans="1:21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spans="1:21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spans="1:2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spans="1:21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spans="1:21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spans="1:21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spans="1:21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spans="1:21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spans="1:21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spans="1:21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spans="1:21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spans="1:21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spans="1:2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spans="1:21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spans="1:21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spans="1:21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spans="1:21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spans="1:21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spans="1:21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spans="1:21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spans="1:21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spans="1:21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1:2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spans="1:21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1:21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1:21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1:21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1:21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1:21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1:21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1:21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1:21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1:2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1:21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spans="1:21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spans="1:21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spans="1:21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spans="1:21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spans="1:21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spans="1:21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spans="1:21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spans="1:21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spans="1: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spans="1:21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spans="1:21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1:21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spans="1:21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spans="1:21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spans="1:21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spans="1:21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spans="1:21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spans="1:21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spans="1:2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1:21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1:21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1:21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1:21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spans="1:21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spans="1:21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spans="1:21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spans="1:2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spans="1:21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spans="1:21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spans="1:21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spans="1:21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spans="1:21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spans="1:21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spans="1:21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spans="1:21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spans="1:21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spans="1:2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spans="1:21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spans="1:21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spans="1:21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spans="1:21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spans="1:21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spans="1:21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spans="1:21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spans="1:21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spans="1:21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spans="1:2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spans="1:21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spans="1:21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spans="1:21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spans="1:21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spans="1:21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spans="1:21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spans="1:21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spans="1:21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spans="1:21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spans="1:2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spans="1:21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spans="1:21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spans="1:21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spans="1:21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spans="1:21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spans="1:21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spans="1:21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spans="1:21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spans="1:21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spans="1:2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spans="1:21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spans="1:21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spans="1:21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spans="1:21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spans="1:21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spans="1:21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spans="1:21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spans="1:21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spans="1:21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spans="1:2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spans="1:21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spans="1:21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spans="1:21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spans="1:21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spans="1:21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spans="1:21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spans="1:21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spans="1:21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spans="1:21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spans="1:2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spans="1:21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spans="1:21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spans="1:21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spans="1:21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spans="1:21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spans="1:21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spans="1:21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spans="1:21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spans="1:21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spans="1:2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spans="1:21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spans="1:21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spans="1:21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spans="1:21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spans="1:21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spans="1:21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spans="1:21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spans="1:21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spans="1:21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spans="1: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spans="1:21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spans="1:21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spans="1:21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spans="1:21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spans="1:21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spans="1:21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spans="1:21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spans="1:21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spans="1:21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spans="1:2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spans="1:21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spans="1:21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spans="1:21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spans="1:21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spans="1:21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spans="1:21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spans="1:21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spans="1:21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spans="1:21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spans="1:2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spans="1:21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spans="1:21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spans="1:21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spans="1:21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spans="1:21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spans="1:21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spans="1:21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spans="1:21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spans="1:21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spans="1:2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spans="1:21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spans="1:21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spans="1:21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spans="1:21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spans="1:21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spans="1:21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spans="1:21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spans="1:21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spans="1:21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spans="1:2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spans="1:21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spans="1:21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spans="1:21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spans="1:21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spans="1:21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spans="1:21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spans="1:21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spans="1:21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spans="1:21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spans="1:2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spans="1:21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spans="1:21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spans="1:21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spans="1:21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spans="1:21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spans="1:21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spans="1:21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spans="1:21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spans="1:21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spans="1:2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spans="1:21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spans="1:21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spans="1:21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spans="1:21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spans="1:21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spans="1:21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spans="1:21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spans="1:21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spans="1:21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spans="1:2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spans="1:21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spans="1:21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spans="1:21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spans="1:21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spans="1:21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spans="1:21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spans="1:21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spans="1:21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spans="1:21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spans="1:2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spans="1:21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spans="1:21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spans="1:21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spans="1:21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spans="1:21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spans="1:21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spans="1:21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spans="1:21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spans="1:21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spans="1:2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spans="1:21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spans="1:21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1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spans="1:21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spans="1:21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spans="1:21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spans="1:21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spans="1:21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spans="1:21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spans="1: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spans="1:21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spans="1:21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spans="1:21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spans="1:21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spans="1:21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spans="1:21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spans="1:21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spans="1:21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spans="1:2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spans="1:21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spans="1:21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spans="1:21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spans="1:21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spans="1:21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spans="1:21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spans="1:21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spans="1:21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spans="1:21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spans="1:2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spans="1:21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spans="1:21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spans="1:21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spans="1:21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spans="1:21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spans="1:21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spans="1:21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spans="1:21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spans="1:21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 spans="1:2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 spans="1:21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 spans="1:21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 spans="1:21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spans="1:21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 spans="1:21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 spans="1:21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 spans="1:21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 spans="1:21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 spans="1:21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 spans="1:2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 spans="1:21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 spans="1:21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 spans="1:21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 spans="1:21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 spans="1:21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 spans="1:21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 spans="1:21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 spans="1:21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 spans="1:21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 spans="1:2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 spans="1:21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 spans="1:21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 spans="1:21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 spans="1:21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 spans="1:21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 spans="1:21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 spans="1:21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 spans="1:21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 spans="1:21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 spans="1:2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 spans="1:21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 spans="1:21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 spans="1:21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 spans="1:21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 spans="1:21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 spans="1:21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 spans="1:21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 spans="1:21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 spans="1:21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 spans="1:2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 spans="1:21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 spans="1:21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 spans="1:21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 spans="1:21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 spans="1:21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 spans="1:21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 spans="1:21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 spans="1:21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 spans="1:21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 spans="1:2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 spans="1:21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 spans="1:21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 spans="1:21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 spans="1:21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 spans="1:21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 spans="1:21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spans="1:21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 spans="1:21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 spans="1:21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 spans="1:2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 spans="1:21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 spans="1:21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 spans="1:21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 spans="1:21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 spans="1:21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 spans="1:21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1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 spans="1:21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 spans="1:21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 spans="1: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 spans="1:21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 spans="1:21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 spans="1:21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 spans="1:21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 spans="1:21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 spans="1:21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 spans="1:21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 spans="1:21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 spans="1:21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 spans="1:2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 spans="1:21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 spans="1:21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 spans="1:21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 spans="1:21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 spans="1:21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 spans="1:21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 spans="1:21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 spans="1:21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 spans="1:21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 spans="1:2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 spans="1:21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 spans="1:21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 spans="1:21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 spans="1:21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 spans="1:21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 spans="1:21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 spans="1:21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 spans="1:21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 spans="1:21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 spans="1:2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 spans="1:21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 spans="1:21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 spans="1:21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 spans="1:21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 spans="1:21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 spans="1:21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 spans="1:21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 spans="1:21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 spans="1:21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 spans="1:2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 spans="1:21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 spans="1:21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 spans="1:21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 spans="1:21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 spans="1:21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 spans="1:21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 spans="1:21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 spans="1:21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 spans="1:21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 spans="1:2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 spans="1:21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 spans="1:21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 spans="1:21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 spans="1:21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 spans="1:21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 spans="1:21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 spans="1:21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 spans="1:21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 spans="1:21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 spans="1:2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 spans="1:21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 spans="1:21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 spans="1:21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 spans="1:21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 spans="1:21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 spans="1:21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 spans="1:21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 spans="1:21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 spans="1:21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 spans="1:2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 spans="1:21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spans="1:21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 spans="1:21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 spans="1:21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 spans="1:21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 spans="1:21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 spans="1:21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 spans="1:21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 spans="1:21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 spans="1:2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 spans="1:21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 spans="1:21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 spans="1:21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 spans="1:21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 spans="1:21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 spans="1:21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 spans="1:21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 spans="1:21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 spans="1:21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 spans="1:2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 spans="1:21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 spans="1:21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 spans="1:21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 spans="1:21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 spans="1:21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 spans="1:21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 spans="1:21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 spans="1:21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 spans="1:21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 spans="1: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 spans="1:21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 spans="1:21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 spans="1:21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 spans="1:21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 spans="1:21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 spans="1:21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 spans="1:21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 spans="1:21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 spans="1:21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 spans="1:2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 spans="1:21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 spans="1:21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 spans="1:21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 spans="1:21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 spans="1:21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 spans="1:21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 spans="1:21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 spans="1:21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 spans="1:21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 spans="1:2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 spans="1:21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 spans="1:21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 spans="1:21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 spans="1:21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 spans="1:21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 spans="1:21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 spans="1:21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 spans="1:21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 spans="1:21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 spans="1:2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 spans="1:21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 spans="1:21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 spans="1:21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 spans="1:21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 spans="1:21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 spans="1:21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 spans="1:21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 spans="1:21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 spans="1:21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 spans="1:2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 spans="1:21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 spans="1:21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 spans="1:21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 spans="1:21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 spans="1:21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 spans="1:21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 spans="1:21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 spans="1:21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 spans="1:21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 spans="1:2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 spans="1:21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 spans="1:21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 spans="1:21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 spans="1:21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 spans="1:21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 spans="1:21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 spans="1:21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 spans="1:21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 spans="1:21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 spans="1:2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 spans="1:21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 spans="1:21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 spans="1:21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 spans="1:21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 spans="1:21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 spans="1:21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 spans="1:21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 spans="1:21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 spans="1:21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 spans="1:2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 spans="1:21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 spans="1:21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 spans="1:21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 spans="1:21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 spans="1:21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 spans="1:21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 spans="1:21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 spans="1:21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 spans="1:21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 spans="1:2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 spans="1:21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 spans="1:21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 spans="1:21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 spans="1:21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 spans="1:21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 spans="1:21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 spans="1:21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 spans="1:21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 spans="1:21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 spans="1:2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 spans="1:21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 spans="1:21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 spans="1:21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 spans="1:21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 spans="1:21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 spans="1:21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 spans="1:21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 spans="1:21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 spans="1:21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 spans="1: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 spans="1:21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 spans="1:21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 spans="1:21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 spans="1:21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 spans="1:21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 spans="1:21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 spans="1:21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 spans="1:21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 spans="1:21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 spans="1:2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 spans="1:21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 spans="1:21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 spans="1:21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 spans="1:21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 spans="1:21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 spans="1:21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 spans="1:21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 spans="1:21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 spans="1:21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 spans="1:2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 spans="1:21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 spans="1:21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 spans="1:21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 spans="1:21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 spans="1:21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 spans="1:21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 spans="1:21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 spans="1:21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 spans="1:21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 spans="1:2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 spans="1:21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 spans="1:21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 spans="1:21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 spans="1:21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 spans="1:21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 spans="1:21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 spans="1:21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 spans="1:21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 spans="1:21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 spans="1:2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 spans="1:21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 spans="1:21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 spans="1:21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 spans="1:21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 spans="1:21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 spans="1:21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 spans="1:21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 spans="1:21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 spans="1:21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 spans="1:2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 spans="1:21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 spans="1:21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 spans="1:21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 spans="1:21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 spans="1:21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 spans="1:21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 spans="1:21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 spans="1:21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 spans="1:21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 spans="1:2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 spans="1:21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 spans="1:21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 spans="1:21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 spans="1:21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 spans="1:21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 spans="1:21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 spans="1:21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 spans="1:21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 spans="1:21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 spans="1:2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 spans="1:21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 spans="1:21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 spans="1:21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 spans="1:21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 spans="1:21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 spans="1:21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 spans="1:21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 spans="1:21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 spans="1:21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 spans="1:2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 spans="1:21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 spans="1:21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 spans="1:21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 spans="1:21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 spans="1:21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 spans="1:21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 spans="1:21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 spans="1:21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 spans="1:21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 spans="1:2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 spans="1:21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 spans="1:21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 spans="1:21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 spans="1:21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 spans="1:21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 spans="1:21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 spans="1:21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 spans="1:21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 spans="1:21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 spans="1: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 spans="1:21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 spans="1:21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 spans="1:21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 spans="1:21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 spans="1:21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 spans="1:21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 spans="1:21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 spans="1:21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 spans="1:21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 spans="1:2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 spans="1:21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 spans="1:21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 spans="1:21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 spans="1:21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 spans="1:21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 spans="1:21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 spans="1:21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 spans="1:21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 spans="1:21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 spans="1:2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 spans="1:21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 spans="1:21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 spans="1:21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 spans="1:21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 spans="1:21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 spans="1:21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 spans="1:21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 spans="1:21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 spans="1:21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 spans="1:2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 spans="1:21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 spans="1:21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 spans="1:21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 spans="1:21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 spans="1:21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 spans="1:21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 spans="1:21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 spans="1:21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 spans="1:21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 spans="1:2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 spans="1:21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 spans="1:21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 spans="1:21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 spans="1:21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 spans="1:21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 spans="1:21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 spans="1:21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 spans="1:21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spans="1:21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 spans="1:2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 spans="1:21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 spans="1:21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 spans="1:21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 spans="1:21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 spans="1:21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modulos kit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Juanlu</cp:lastModifiedBy>
  <dcterms:modified xsi:type="dcterms:W3CDTF">2026-05-30T15:47:49Z</dcterms:modified>
</cp:coreProperties>
</file>